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autoCompressPictures="0"/>
  <mc:AlternateContent xmlns:mc="http://schemas.openxmlformats.org/markup-compatibility/2006">
    <mc:Choice Requires="x15">
      <x15ac:absPath xmlns:x15ac="http://schemas.microsoft.com/office/spreadsheetml/2010/11/ac" url="U:\internapp\"/>
    </mc:Choice>
  </mc:AlternateContent>
  <bookViews>
    <workbookView xWindow="0" yWindow="0" windowWidth="28800" windowHeight="12210" tabRatio="734" activeTab="8"/>
  </bookViews>
  <sheets>
    <sheet name="Summary" sheetId="1" r:id="rId1"/>
    <sheet name="Sheet 1" sheetId="9" r:id="rId2"/>
    <sheet name="Sheet 2" sheetId="22" r:id="rId3"/>
    <sheet name="Sheet 3" sheetId="21" r:id="rId4"/>
    <sheet name="Sheet 4" sheetId="23" r:id="rId5"/>
    <sheet name="Sheet 5" sheetId="24" r:id="rId6"/>
    <sheet name="Sheet 6" sheetId="25" r:id="rId7"/>
    <sheet name="Sheet 7" sheetId="33" r:id="rId8"/>
    <sheet name="Sheet 9" sheetId="35" r:id="rId9"/>
    <sheet name="INSTRUCTIONS" sheetId="20" r:id="rId10"/>
    <sheet name="Test Case Checklist" sheetId="32" r:id="rId11"/>
  </sheets>
  <externalReferences>
    <externalReference r:id="rId12"/>
    <externalReference r:id="rId13"/>
  </externalReferences>
  <definedNames>
    <definedName name="Bookmark1" localSheetId="8">#REF!</definedName>
    <definedName name="Bookmark1" localSheetId="0">#REF!</definedName>
    <definedName name="Bookmark1">#REF!</definedName>
    <definedName name="Input" localSheetId="8">#REF!</definedName>
    <definedName name="Input">#REF!</definedName>
    <definedName name="Iteration" localSheetId="8">#REF!</definedName>
    <definedName name="Iteration" localSheetId="0">'[1]End 2 End'!$I$20</definedName>
    <definedName name="Iteration">#REF!</definedName>
    <definedName name="Number_of_Cases_Executed" localSheetId="8">#REF!</definedName>
    <definedName name="Number_of_Cases_Executed" localSheetId="0">'[1]End 2 End'!#REF!</definedName>
    <definedName name="Number_of_Cases_Executed">#REF!</definedName>
    <definedName name="Number_of_Cases_Failed" localSheetId="8">#REF!</definedName>
    <definedName name="Number_of_Cases_Failed" localSheetId="0">'[1]End 2 End'!#REF!</definedName>
    <definedName name="Number_of_Cases_Failed">#REF!</definedName>
    <definedName name="Number_of_Cases_Passed" localSheetId="8">#REF!</definedName>
    <definedName name="Number_of_Cases_Passed" localSheetId="0">'[1]End 2 End'!#REF!</definedName>
    <definedName name="Number_of_Cases_Passed">#REF!</definedName>
    <definedName name="PF_Values" localSheetId="0">'[1]Formula Values'!$A$2:$A$12</definedName>
    <definedName name="PF_Values">'[2]Formula Values'!$A$2:$A$12</definedName>
    <definedName name="PF_Values_Risk" localSheetId="0">'[1]Formula Values'!$C$3:$C$5</definedName>
    <definedName name="PF_Values_Risk">'[2]Formula Values'!$C$3:$C$5</definedName>
    <definedName name="_xlnm.Print_Titles" localSheetId="10">'Test Case Checklist'!#REF!</definedName>
    <definedName name="Project" localSheetId="8">#REF!</definedName>
    <definedName name="Project" localSheetId="0">'[1]End 2 End'!$D$21</definedName>
    <definedName name="Project">#REF!</definedName>
    <definedName name="ProjectNumber" localSheetId="8">#REF!</definedName>
    <definedName name="ProjectNumber" localSheetId="0">'[1]End 2 End'!$D$20</definedName>
    <definedName name="ProjectNumber">#REF!</definedName>
    <definedName name="QA_Engineer" localSheetId="8">#REF!</definedName>
    <definedName name="QA_Engineer">#REF!</definedName>
    <definedName name="Total_Test_Cases_1" localSheetId="8">#REF!</definedName>
    <definedName name="Total_Test_Cases_1" localSheetId="0">#REF!</definedName>
    <definedName name="Total_Test_Cases_1">#REF!</definedName>
    <definedName name="Total_Test_Cases_2" localSheetId="8">#REF!</definedName>
    <definedName name="Total_Test_Cases_2">#REF!</definedName>
    <definedName name="Total_Test_Cases_3" localSheetId="8">#REF!</definedName>
    <definedName name="Total_Test_Cases_3">#REF!</definedName>
    <definedName name="Total_Test_Cases_4" localSheetId="8">#REF!</definedName>
    <definedName name="Total_Test_Cases_4">#REF!</definedName>
    <definedName name="Total_Test_Cases_5" localSheetId="8">#REF!</definedName>
    <definedName name="Total_Test_Cases_5">#REF!</definedName>
    <definedName name="XXX___XXX___XXX" localSheetId="8">Summary!#REF!</definedName>
    <definedName name="XXX___XXX___XXX">Summary!#REF!</definedName>
    <definedName name="Z_2BD53965_7AF9_443B_A3EB_1551C1B2D989_.wvu.FilterData" localSheetId="1" hidden="1">'Sheet 1'!$B$1</definedName>
    <definedName name="Z_2BD53965_7AF9_443B_A3EB_1551C1B2D989_.wvu.Rows" localSheetId="1" hidden="1">'Sheet 1'!$2:$10</definedName>
    <definedName name="Z_5321402B_B058_4F4F_8475_9E1E96D7736F_.wvu.FilterData" localSheetId="1" hidden="1">'Sheet 1'!$B$1</definedName>
    <definedName name="Z_5C462202_0F41_44A5_A51D_730A5C4D602B_.wvu.Cols" localSheetId="0" hidden="1">Summary!$G:$M</definedName>
    <definedName name="Z_5C462202_0F41_44A5_A51D_730A5C4D602B_.wvu.Rows" localSheetId="0" hidden="1">Summary!#REF!</definedName>
    <definedName name="Z_71F41D68_7F5C_4935_BCC4_6F68CC15FDCC_.wvu.Cols" localSheetId="0" hidden="1">Summary!$G:$M</definedName>
    <definedName name="Z_71F41D68_7F5C_4935_BCC4_6F68CC15FDCC_.wvu.Rows" localSheetId="0" hidden="1">Summary!#REF!</definedName>
    <definedName name="Z_BA73FC38_77F8_4097_B035_D49EB8C8B5C0_.wvu.FilterData" localSheetId="1" hidden="1">'Sheet 1'!$B$1</definedName>
    <definedName name="Z_BA73FC38_77F8_4097_B035_D49EB8C8B5C0_.wvu.Rows" localSheetId="1" hidden="1">'Sheet 1'!$2:$10</definedName>
  </definedNames>
  <calcPr calcId="171027" concurrentCalc="0"/>
  <customWorkbookViews>
    <customWorkbookView name="Sage Software - Personal View" guid="{5321402B-B058-4F4F-8475-9E1E96D7736F}" mergeInterval="0" personalView="1" maximized="1" windowWidth="1276" windowHeight="825" tabRatio="602" activeSheetId="6" showComments="commIndAndComment"/>
    <customWorkbookView name="Dianne Gaines - Personal View" guid="{2BD53965-7AF9-443B-A3EB-1551C1B2D989}" mergeInterval="0" personalView="1" maximized="1" windowWidth="1276" windowHeight="882" tabRatio="602" activeSheetId="16"/>
    <customWorkbookView name="Suzanne - Personal View" guid="{BA73FC38-77F8-4097-B035-D49EB8C8B5C0}" mergeInterval="0" personalView="1" maximized="1" windowWidth="1276" windowHeight="832" tabRatio="602" activeSheetId="6" showComments="commIndAndComment"/>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B3" i="9" l="1"/>
  <c r="D6" i="1"/>
  <c r="B6" i="9"/>
  <c r="F6" i="1"/>
  <c r="B9" i="9"/>
  <c r="I6" i="1"/>
  <c r="J6" i="1"/>
  <c r="B9" i="35"/>
  <c r="I14" i="1"/>
  <c r="I13" i="1"/>
  <c r="B9" i="33"/>
  <c r="I12" i="1"/>
  <c r="B9" i="25"/>
  <c r="I11" i="1"/>
  <c r="B9" i="24"/>
  <c r="I10" i="1"/>
  <c r="B9" i="23"/>
  <c r="I9" i="1"/>
  <c r="B9" i="21"/>
  <c r="I8" i="1"/>
  <c r="B9" i="22"/>
  <c r="I7" i="1"/>
  <c r="B8" i="35"/>
  <c r="H14" i="1"/>
  <c r="B7" i="35"/>
  <c r="G14" i="1"/>
  <c r="H13" i="1"/>
  <c r="G13" i="1"/>
  <c r="F13" i="1"/>
  <c r="B6" i="35"/>
  <c r="F14" i="1"/>
  <c r="B4" i="35"/>
  <c r="E14" i="1"/>
  <c r="B5" i="35"/>
  <c r="B3" i="35"/>
  <c r="D14" i="1"/>
  <c r="J14" i="1"/>
  <c r="E13" i="1"/>
  <c r="D13" i="1"/>
  <c r="B8" i="33"/>
  <c r="H12" i="1"/>
  <c r="B7" i="33"/>
  <c r="G12" i="1"/>
  <c r="B6" i="33"/>
  <c r="F12" i="1"/>
  <c r="B4" i="33"/>
  <c r="E12" i="1"/>
  <c r="B5" i="33"/>
  <c r="B3" i="33"/>
  <c r="D12" i="1"/>
  <c r="J13" i="1"/>
  <c r="J12" i="1"/>
  <c r="B8" i="25"/>
  <c r="B8" i="24"/>
  <c r="B8" i="23"/>
  <c r="B8" i="21"/>
  <c r="B8" i="22"/>
  <c r="B8" i="9"/>
  <c r="B7" i="25"/>
  <c r="G11" i="1"/>
  <c r="B6" i="25"/>
  <c r="F11" i="1"/>
  <c r="B5" i="25"/>
  <c r="B4" i="25"/>
  <c r="E11" i="1"/>
  <c r="B3" i="25"/>
  <c r="D11" i="1"/>
  <c r="B7" i="24"/>
  <c r="G10" i="1"/>
  <c r="B6" i="24"/>
  <c r="F10" i="1"/>
  <c r="B5" i="24"/>
  <c r="B4" i="24"/>
  <c r="E10" i="1"/>
  <c r="B3" i="24"/>
  <c r="D10" i="1"/>
  <c r="B7" i="23"/>
  <c r="G9" i="1"/>
  <c r="B6" i="23"/>
  <c r="F9" i="1"/>
  <c r="B5" i="23"/>
  <c r="B4" i="23"/>
  <c r="E9" i="1"/>
  <c r="B3" i="23"/>
  <c r="D9" i="1"/>
  <c r="J9" i="1"/>
  <c r="B7" i="21"/>
  <c r="G8" i="1"/>
  <c r="B6" i="21"/>
  <c r="F8" i="1"/>
  <c r="B5" i="21"/>
  <c r="B4" i="21"/>
  <c r="E8" i="1"/>
  <c r="B3" i="21"/>
  <c r="D8" i="1"/>
  <c r="B7" i="22"/>
  <c r="G7" i="1"/>
  <c r="B6" i="22"/>
  <c r="F7" i="1"/>
  <c r="B5" i="22"/>
  <c r="B4" i="22"/>
  <c r="E7" i="1"/>
  <c r="B3" i="22"/>
  <c r="D7" i="1"/>
  <c r="J7" i="1"/>
  <c r="B7" i="9"/>
  <c r="G6" i="1"/>
  <c r="B5" i="9"/>
  <c r="B4" i="9"/>
  <c r="E6" i="1"/>
  <c r="E17" i="1"/>
  <c r="H7" i="1"/>
  <c r="H10" i="1"/>
  <c r="H8" i="1"/>
  <c r="H6" i="1"/>
  <c r="F17" i="1"/>
  <c r="G17" i="1"/>
  <c r="J8" i="1"/>
  <c r="J10" i="1"/>
  <c r="I17" i="1"/>
  <c r="D17" i="1"/>
  <c r="J11" i="1"/>
  <c r="H9" i="1"/>
  <c r="H11" i="1"/>
  <c r="H17" i="1"/>
  <c r="J17" i="1"/>
</calcChain>
</file>

<file path=xl/sharedStrings.xml><?xml version="1.0" encoding="utf-8"?>
<sst xmlns="http://schemas.openxmlformats.org/spreadsheetml/2006/main" count="620" uniqueCount="288">
  <si>
    <t>Sheet 1</t>
  </si>
  <si>
    <t>Sheet 5</t>
  </si>
  <si>
    <t>Sheet 6</t>
  </si>
  <si>
    <t>Sheet 2</t>
  </si>
  <si>
    <t>Sheet 3</t>
  </si>
  <si>
    <t>Sheet 4</t>
  </si>
  <si>
    <t>EXAMPLE ROW</t>
  </si>
  <si>
    <t>Y</t>
  </si>
  <si>
    <t>Subject</t>
  </si>
  <si>
    <t>Test Name</t>
  </si>
  <si>
    <t>Step Description</t>
  </si>
  <si>
    <t>Expected Results</t>
  </si>
  <si>
    <t>Designer</t>
  </si>
  <si>
    <t>Status</t>
  </si>
  <si>
    <t>Test Type</t>
  </si>
  <si>
    <t>Reviewer</t>
  </si>
  <si>
    <t>Step 1</t>
  </si>
  <si>
    <t>Ready</t>
  </si>
  <si>
    <t>3-Medium</t>
  </si>
  <si>
    <t>Manual</t>
  </si>
  <si>
    <t>N</t>
  </si>
  <si>
    <t>Test Case Execution Stats</t>
  </si>
  <si>
    <t>Total Test Cases:</t>
  </si>
  <si>
    <t>Sheet Name</t>
  </si>
  <si>
    <t>Total 
Test Cases</t>
  </si>
  <si>
    <t># of Test Cases reviewed</t>
  </si>
  <si>
    <t>Description</t>
  </si>
  <si>
    <t>Step</t>
  </si>
  <si>
    <t>Test Risk
2-High
3-Medium
4-Low</t>
  </si>
  <si>
    <t>Automated
Y/N</t>
  </si>
  <si>
    <t xml:space="preserve">Reviewed
Y/N </t>
  </si>
  <si>
    <t>Reviewed Date</t>
  </si>
  <si>
    <t>Requirement ID</t>
  </si>
  <si>
    <t>Total Reviewed - Y:</t>
  </si>
  <si>
    <t>Total Reviewed - N:</t>
  </si>
  <si>
    <t>DO NOT ENTER TEST CASES BEYOND THIS POINT.  INSERT LINES INSTEAD</t>
  </si>
  <si>
    <t>Totals</t>
  </si>
  <si>
    <t>Project:</t>
  </si>
  <si>
    <t>Tested By
Date
Build</t>
  </si>
  <si>
    <t>Testing Comments/Details</t>
  </si>
  <si>
    <t>Pass</t>
  </si>
  <si>
    <t>PASS/FAIL
Defect #</t>
  </si>
  <si>
    <t>Fail</t>
  </si>
  <si>
    <t>Person Testing</t>
  </si>
  <si>
    <t>Blocked</t>
  </si>
  <si>
    <t>Comments</t>
  </si>
  <si>
    <t>Remaining</t>
  </si>
  <si>
    <t>1.  Rename the tabs to match the Story or in a manner that makes sense to the project.</t>
  </si>
  <si>
    <t>How to use this template:</t>
  </si>
  <si>
    <t>Count</t>
  </si>
  <si>
    <t>2.  Rename the corresponding sheet name on the 'Summary' Tab to match the name of the tab</t>
  </si>
  <si>
    <t># of Open Defects</t>
  </si>
  <si>
    <t>Open Defects</t>
  </si>
  <si>
    <t>3.  To copy a new worksheet - create a new Sheet and copy the entire sheet that contains the macros and columns and paste into the new worksheet.  You cannot create a new work sheet by using move or copy sheets from the Edit Menu</t>
  </si>
  <si>
    <t>Menu</t>
  </si>
  <si>
    <t>Menu Items</t>
  </si>
  <si>
    <t>Menu Location</t>
  </si>
  <si>
    <t>Menu Item Name</t>
  </si>
  <si>
    <t>Menu Item Mnemonic</t>
  </si>
  <si>
    <t>Menu Item Mnemonic opens window?</t>
  </si>
  <si>
    <t>Menu Item Mouse-click opens window?</t>
  </si>
  <si>
    <t>Menu Items Style
(for details, see Style Guide)</t>
  </si>
  <si>
    <t>Case and font</t>
  </si>
  <si>
    <t>Alignment of menu item name and shortcut</t>
  </si>
  <si>
    <t>Ellipsis</t>
  </si>
  <si>
    <t>Sub menu indicator</t>
  </si>
  <si>
    <t>Enabled/Disabled menu items</t>
  </si>
  <si>
    <t>Separator bars</t>
  </si>
  <si>
    <t>Selection in focus indicator</t>
  </si>
  <si>
    <t>Menu Shortcuts
(for details, see Style Guide)</t>
  </si>
  <si>
    <t>CTRL + key, DEL</t>
  </si>
  <si>
    <t>Function Keys
(for details, see Style Guide)</t>
  </si>
  <si>
    <t>Function keys F1 - F10 and combinations with ALT, SHIFT, and CTRL,</t>
  </si>
  <si>
    <t>Windows</t>
  </si>
  <si>
    <t>Appearance</t>
  </si>
  <si>
    <t>Matches DUI</t>
  </si>
  <si>
    <t>Window matches DUI screen shot</t>
  </si>
  <si>
    <t>Basic Window Frame Style
(for details, see Style Guide)</t>
  </si>
  <si>
    <t>Window frame color and style</t>
  </si>
  <si>
    <t>Window icon, min/max, and close buttons - resizable/non-resizable windows</t>
  </si>
  <si>
    <t>Toolbar area height, width, and background color</t>
  </si>
  <si>
    <t>Content area background color</t>
  </si>
  <si>
    <t>Window Text Style
 (for details, see Style Guide)</t>
  </si>
  <si>
    <t>Text Default font, Heading font, Sub-heading font, Detail font, and Field Instructions font</t>
  </si>
  <si>
    <t>Sentence case used when words are not in titles</t>
  </si>
  <si>
    <t>Title case used for all titles, screen labels, and words that are not in sentences</t>
  </si>
  <si>
    <t>Colors Style
 (for details, see Style Guide)</t>
  </si>
  <si>
    <t>Tabs Style
(for details, see Style Guide)</t>
  </si>
  <si>
    <t>Selected and last tabs have grey drop shadow</t>
  </si>
  <si>
    <t>Selected tab font and non-selected tab font</t>
  </si>
  <si>
    <t>Tab height and width</t>
  </si>
  <si>
    <t>Tabbing to set focus (if applicable)</t>
  </si>
  <si>
    <t>Arrow keys will move between tabs in a tabbed window</t>
  </si>
  <si>
    <t>Enter key selects tab in focus</t>
  </si>
  <si>
    <t>Wizard Style
(for details, see Style Guide)</t>
  </si>
  <si>
    <t>Window background color</t>
  </si>
  <si>
    <t>Title bar contents</t>
  </si>
  <si>
    <t>Graphic size, edging</t>
  </si>
  <si>
    <t>Text font</t>
  </si>
  <si>
    <t>Separator bar</t>
  </si>
  <si>
    <t>Standard wizard button set of Back, Next, Cancel, and Help</t>
  </si>
  <si>
    <t>Brevity in wizard text</t>
  </si>
  <si>
    <t>Progress Bar Style
(for details, see Style Guide)</t>
  </si>
  <si>
    <t>Progress bar label/title bar</t>
  </si>
  <si>
    <t>Existence/use of Cancel button</t>
  </si>
  <si>
    <t>Progress bar graphic (solid blue bar with percentage complete indicator)</t>
  </si>
  <si>
    <t>Percentage complete font - during progress and when complete</t>
  </si>
  <si>
    <t>X to close functions as Cancel</t>
  </si>
  <si>
    <t>State</t>
  </si>
  <si>
    <t>Window State (Modal/Modeless)</t>
  </si>
  <si>
    <t>Modal windows will not allow other windows in the application to be accessed when the modal window is already open.  Other windows may close when a modal window is opened.</t>
  </si>
  <si>
    <t>Modeless window will allow other windows to be opened and input entered while the modeless window remains open.</t>
  </si>
  <si>
    <t>Field/Button Defaults and Validations</t>
  </si>
  <si>
    <t>Field/Button Defaults</t>
  </si>
  <si>
    <t xml:space="preserve">List each new field and control and verify the default state - enabled/disabled, checked/unchecked, etc - and default entry of each.  The default state and default entry should be checked before taking any action on the window/tab other than opening it.  </t>
  </si>
  <si>
    <t>Minimum Values</t>
  </si>
  <si>
    <t>Field does not allow entry of any lesser value or number of characters</t>
  </si>
  <si>
    <t>Maximum Values</t>
  </si>
  <si>
    <t>Field does not allow entry of any greater value or number of characters</t>
  </si>
  <si>
    <t>Valid Entries</t>
  </si>
  <si>
    <t>Field accepts alpha characters, numeric characters (positive and negative), or special characters as noted in the specification documents</t>
  </si>
  <si>
    <t>Invalid Entries</t>
  </si>
  <si>
    <t>Field does not accept alpha characters, numeric characters (positive and negative), or special characters as noted in the specification documents</t>
  </si>
  <si>
    <t>Verify the method of validation that is noted in the specification documents.  Validation may occur several different ways.  A field may not allow a character to be typed or may produce an error message.</t>
  </si>
  <si>
    <t>If a field does not allow you to type certain characters, copy and paste them from another field.  For example, if an amount field does not allow you to type letters, copy and paste them from a text field to check the validation.</t>
  </si>
  <si>
    <t>Field Required?</t>
  </si>
  <si>
    <t>Leave the field empty and attempt to save the record.</t>
  </si>
  <si>
    <t>Controls</t>
  </si>
  <si>
    <t>Toolbar Buttons Style
(for details, see Style Guide)</t>
  </si>
  <si>
    <t>Default Toolbar Button order</t>
  </si>
  <si>
    <t>Button label font, case, placement</t>
  </si>
  <si>
    <t>Button height, width, and alignment</t>
  </si>
  <si>
    <t>Button background color</t>
  </si>
  <si>
    <t>Enabled/disabled button indicator</t>
  </si>
  <si>
    <t>Button in focus indicator</t>
  </si>
  <si>
    <t>Button Separator Bars</t>
  </si>
  <si>
    <t>Submenu indicator (button itself does not perform an action) and Separate Submenu indicator (button itself does perform an action)</t>
  </si>
  <si>
    <t>Submenu items</t>
  </si>
  <si>
    <t>Enabled/disabled submenu item indicator</t>
  </si>
  <si>
    <t>Submenu in focus indicator</t>
  </si>
  <si>
    <t>Submenu Separator Bar</t>
  </si>
  <si>
    <t>Other Standard Buttons Style
(for details, see Style Guide)</t>
  </si>
  <si>
    <t>Other Buttons with Graphics Style
(for details, see Style Guide)</t>
  </si>
  <si>
    <t>Button graphic placement</t>
  </si>
  <si>
    <t>Quick Action Button Style
(for details, see Style Guide)</t>
  </si>
  <si>
    <t>Button bar border</t>
  </si>
  <si>
    <t>Submenu indicator</t>
  </si>
  <si>
    <t>Minimum number of items to display</t>
  </si>
  <si>
    <t>Combo Box Style
(for details, see Style Guide)</t>
  </si>
  <si>
    <t>Label font</t>
  </si>
  <si>
    <t>Value font and alignment</t>
  </si>
  <si>
    <t>Dropdown arrow as access point to picklist</t>
  </si>
  <si>
    <t>Blank lines in picklist</t>
  </si>
  <si>
    <t>Text Field Style
(for details, see Style Guide)</t>
  </si>
  <si>
    <t>Labels and values font</t>
  </si>
  <si>
    <t>Focus indicator</t>
  </si>
  <si>
    <t>Radio Button Style
(for details, see Style Guide)</t>
  </si>
  <si>
    <t>Label font and alignment</t>
  </si>
  <si>
    <t>Tab order should go to selected button</t>
  </si>
  <si>
    <t>Arrow keys move focus between radio buttons</t>
  </si>
  <si>
    <t>Check Box Style
(for details, see Style Guide)</t>
  </si>
  <si>
    <t>Selected/unselected checkbox indicator</t>
  </si>
  <si>
    <t>Space bar used to check/uncheck the box</t>
  </si>
  <si>
    <t>Table Style (All)
(for details, see Style Guide)</t>
  </si>
  <si>
    <t>Column heading and value alignment</t>
  </si>
  <si>
    <t>Table data font</t>
  </si>
  <si>
    <t>Editable/Noneditable cell background color</t>
  </si>
  <si>
    <t>Row in focus indicator</t>
  </si>
  <si>
    <t>Table Style (Sortable, Movable, Resizable)
(for details, see Style Guide)
Example:  Account Rec grid</t>
  </si>
  <si>
    <t>Standard functionality includes column sort, drag, and resize</t>
  </si>
  <si>
    <t>Sort direction indicator (up arrow is ascending, down arrow is descending)</t>
  </si>
  <si>
    <t>Column header separators</t>
  </si>
  <si>
    <t>Sortable column headers</t>
  </si>
  <si>
    <t>Column header labels align with table data</t>
  </si>
  <si>
    <t>Other Controls</t>
  </si>
  <si>
    <t>Date controls</t>
  </si>
  <si>
    <t>Time spin (duration) controls</t>
  </si>
  <si>
    <t>Navigation</t>
  </si>
  <si>
    <t>Tab Order</t>
  </si>
  <si>
    <t>Tab</t>
  </si>
  <si>
    <t>Reverse Tab Order</t>
  </si>
  <si>
    <t>Shift-tab</t>
  </si>
  <si>
    <t>Mnemonics</t>
  </si>
  <si>
    <t>ALT + underlined letter takes focus to field or performs button action</t>
  </si>
  <si>
    <t>Existing window mnemonics are not changed</t>
  </si>
  <si>
    <t>Duplicate mnemonics are avoided when adding new mnemonics to a window</t>
  </si>
  <si>
    <t>Other Window Navigation</t>
  </si>
  <si>
    <t>Mouse-click takes focus to field or invokes button action</t>
  </si>
  <si>
    <t>Space key will invoke the function of buttons other than the toolbar buttons.</t>
  </si>
  <si>
    <t>Close Methods</t>
  </si>
  <si>
    <t>Close button</t>
  </si>
  <si>
    <t>Cancel button</t>
  </si>
  <si>
    <t>The "X" button in the upper right-hand corner on the window's title bar</t>
  </si>
  <si>
    <t>The button in the upper left-hand corner on the window's title bar, then clicking Close</t>
  </si>
  <si>
    <t>CTRL+F4</t>
  </si>
  <si>
    <t>Error Handling</t>
  </si>
  <si>
    <t>Error Handling and Error Message text</t>
  </si>
  <si>
    <t xml:space="preserve">Generally, include specific instructions in the steps on how to create the error condition.  In the Expected Results, include the error message number and refer to the Spec for the exact error message wording.  Do not include the exact error message text </t>
  </si>
  <si>
    <t>Optional method of including error messages in the test plan as opposed to referencing the specification documents:  A separate tab/worksheet can be created in the test plan workbook that includes columns for the error message number, event, condition, me</t>
  </si>
  <si>
    <t>Also include test cases for the message's response buttons.  Generally, it is more efficient to include test cases for the response buttons in reverse order - Help first, then No or Cancel second, and OK or Yes last.  This generally prevents the tester fr</t>
  </si>
  <si>
    <t>Error Messages Style
 (for details, see Style Guide)</t>
  </si>
  <si>
    <t>Error message width and wrapping of text</t>
  </si>
  <si>
    <t>Error message title</t>
  </si>
  <si>
    <t>Error message icon</t>
  </si>
  <si>
    <t>Error message text font</t>
  </si>
  <si>
    <t>Error message alignment</t>
  </si>
  <si>
    <t>Use of standard buttons</t>
  </si>
  <si>
    <t>Functionality of Close (X) button</t>
  </si>
  <si>
    <t xml:space="preserve">No action button functionality duplication other than Close (X).  (Example:  an error message should not have both No and Cancel buttons if they do the same thing) </t>
  </si>
  <si>
    <t>Action button combinations.  (Example:  Yes and No should always be used together)</t>
  </si>
  <si>
    <t>Default Error Message button order</t>
  </si>
  <si>
    <t>Help</t>
  </si>
  <si>
    <t>What's This (field level) help</t>
  </si>
  <si>
    <t>Short explanation for all fields, buttons, and other controls</t>
  </si>
  <si>
    <t>Screen level Help</t>
  </si>
  <si>
    <t>Explanation of function of window</t>
  </si>
  <si>
    <t>Tool Tips</t>
  </si>
  <si>
    <t>Usually only for toolbar buttons</t>
  </si>
  <si>
    <t>Other Areas</t>
  </si>
  <si>
    <t>Color Scheme</t>
  </si>
  <si>
    <t>Change/Save Window size</t>
  </si>
  <si>
    <t>Change/Save Window location</t>
  </si>
  <si>
    <t>Reports and Forms</t>
  </si>
  <si>
    <t>Reports</t>
  </si>
  <si>
    <t>Report verification</t>
  </si>
  <si>
    <t>Report formatting</t>
  </si>
  <si>
    <t>Different methods of producing the report (print, preview, or e-mail)</t>
  </si>
  <si>
    <t>Producing the report from the report selector and from the task window (if available)</t>
  </si>
  <si>
    <t>Data validation</t>
  </si>
  <si>
    <t>Window title</t>
  </si>
  <si>
    <t>Report fonts</t>
  </si>
  <si>
    <t>Report header alignment and content</t>
  </si>
  <si>
    <t>Filter criteria alignment</t>
  </si>
  <si>
    <t>Column header alignment with data</t>
  </si>
  <si>
    <t>Selected row indicator</t>
  </si>
  <si>
    <t>Functionality</t>
  </si>
  <si>
    <t>Security</t>
  </si>
  <si>
    <t>Password/security issues</t>
  </si>
  <si>
    <t>New windows or new fields</t>
  </si>
  <si>
    <t>Reports/Forms</t>
  </si>
  <si>
    <t>Access from Toolbar, Nav Aid, etc</t>
  </si>
  <si>
    <t>I d e a s  f o r  O r g a n i z i n g  Y o u r  T e s t  P l a n</t>
  </si>
  <si>
    <t>As you are reading the feature documents, logically determine which areas should be tested together and which should be separate.  This test case checklist should give you some good ideas of areas to include.  If you have any questions, your team lead can</t>
  </si>
  <si>
    <t>If a new window is introduced with the feature, it may be easier to write user interface test cases grouped by field attributes (testing one attribute of all fields one attribute at a time) rather than by field (testing all attributes of a field one field</t>
  </si>
  <si>
    <t>If a feature contains complicated data calculations, it may be easier to write the data test using a chart filled out with the exact data for the tester to enter and the exact calculation results to verify.  Also, if there is a lot of initial data that ne</t>
  </si>
  <si>
    <t>Brand Colors, Table Row Colors, and Text Colors</t>
  </si>
  <si>
    <t>Color scheme determines tab color</t>
  </si>
  <si>
    <t>ALT+F4 closes the window, then closes application</t>
  </si>
  <si>
    <t>Separator line between columns</t>
  </si>
  <si>
    <t>Report Style</t>
  </si>
  <si>
    <t>4.  In order for the macro's to work, for the Pass, Fail, Blocked, or Open Defects - the cell must contain and start with P for the Pass, F for the Fail, B for the Blocked, and O for Open Defects.  You can add any data after this in the cell, but the first character in the cell must be the P, F, B, or O.</t>
  </si>
  <si>
    <t xml:space="preserve">5.  When a test case Fails, record the Defect Number in the cell </t>
  </si>
  <si>
    <t xml:space="preserve">6. You have to Type or Drag the Step 1 for the Marco to count the test case.  Pasting the Step 1 cell into the worksheet causes the Macro not to count the test case.  </t>
  </si>
  <si>
    <t>Subject of the test</t>
  </si>
  <si>
    <t>Specific test name</t>
  </si>
  <si>
    <t>Who</t>
  </si>
  <si>
    <t>Test reviewer</t>
  </si>
  <si>
    <t>Date reviewed</t>
  </si>
  <si>
    <t>Requirements Tracking</t>
  </si>
  <si>
    <t>Sheet 7</t>
  </si>
  <si>
    <t>Sheet 8</t>
  </si>
  <si>
    <t>Sheet 9</t>
  </si>
  <si>
    <t>Test initial login</t>
  </si>
  <si>
    <t>Launch DOA</t>
  </si>
  <si>
    <t>DOA launches with a login dialog</t>
  </si>
  <si>
    <t>Step 2</t>
  </si>
  <si>
    <t>Enter "Admin" in the ID field</t>
  </si>
  <si>
    <t>Step 3</t>
  </si>
  <si>
    <t>Enter "Password in the password field</t>
  </si>
  <si>
    <t>Password should be masked</t>
  </si>
  <si>
    <t>Step 4</t>
  </si>
  <si>
    <t>Press OK</t>
  </si>
  <si>
    <t>Successfully login</t>
  </si>
  <si>
    <t>Admin should have access to the File menu</t>
  </si>
  <si>
    <t>Admin should not have access to the medical menu</t>
  </si>
  <si>
    <t>Admin should not have acceess to the Patient menu</t>
  </si>
  <si>
    <t>Admin should not have access to the report menu</t>
  </si>
  <si>
    <t>Admin should not have access to the Services menu</t>
  </si>
  <si>
    <t>Admin should have access to the Admin menu</t>
  </si>
  <si>
    <t>Admin may have acess to the About menu</t>
  </si>
  <si>
    <t>Admin access to file menu</t>
  </si>
  <si>
    <t>Admin successfully logins</t>
  </si>
  <si>
    <t>Admin access to Patient menu</t>
  </si>
  <si>
    <t>Admin access to Medical menu</t>
  </si>
  <si>
    <t>Admin access to Report menu</t>
  </si>
  <si>
    <t>Admin access to Services menu</t>
  </si>
  <si>
    <t>Admin access to Admin menu</t>
  </si>
  <si>
    <t>Admin access to About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</si>
</sst>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0"/>
      <name val="Arial"/>
    </font>
    <font>
      <u/>
      <sz val="10"/>
      <color indexed="12"/>
      <name val="Arial"/>
    </font>
    <font>
      <sz val="8"/>
      <name val="Arial"/>
    </font>
    <font>
      <sz val="8"/>
      <name val="Arial"/>
      <family val="2"/>
    </font>
    <font>
      <b/>
      <sz val="8"/>
      <name val="Arial"/>
      <family val="2"/>
    </font>
    <font>
      <b/>
      <sz val="10"/>
      <name val="Arial"/>
      <family val="2"/>
    </font>
    <font>
      <sz val="8"/>
      <color indexed="12"/>
      <name val="Arial"/>
      <family val="2"/>
    </font>
    <font>
      <b/>
      <sz val="8"/>
      <color indexed="12"/>
      <name val="Arial"/>
      <family val="2"/>
    </font>
    <font>
      <sz val="10"/>
      <name val="Arial"/>
      <family val="2"/>
    </font>
    <font>
      <b/>
      <sz val="14"/>
      <name val="Arial"/>
      <family val="2"/>
    </font>
    <font>
      <sz val="8"/>
      <color indexed="10"/>
      <name val="Arial"/>
      <family val="2"/>
    </font>
    <font>
      <sz val="8"/>
      <color indexed="17"/>
      <name val="Arial"/>
      <family val="2"/>
    </font>
    <font>
      <sz val="8"/>
      <color indexed="48"/>
      <name val="Arial"/>
      <family val="2"/>
    </font>
    <font>
      <b/>
      <sz val="8"/>
      <color indexed="48"/>
      <name val="Arial"/>
      <family val="2"/>
    </font>
    <font>
      <b/>
      <sz val="12"/>
      <name val="Arial"/>
    </font>
    <font>
      <sz val="12"/>
      <name val="Arial"/>
    </font>
    <font>
      <b/>
      <sz val="12"/>
      <name val="Arial"/>
      <family val="2"/>
    </font>
    <font>
      <sz val="12"/>
      <name val="Arial"/>
      <family val="2"/>
    </font>
    <font>
      <b/>
      <sz val="10"/>
      <color rgb="FFFF0000"/>
      <name val="Arial"/>
      <family val="2"/>
    </font>
    <font>
      <b/>
      <sz val="10"/>
      <color rgb="FF008000"/>
      <name val="Arial"/>
      <family val="2"/>
    </font>
    <font>
      <u/>
      <sz val="10"/>
      <color theme="11"/>
      <name val="Arial"/>
    </font>
  </fonts>
  <fills count="7">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10"/>
        <bgColor indexed="64"/>
      </patternFill>
    </fill>
    <fill>
      <patternFill patternType="solid">
        <fgColor indexed="9"/>
        <bgColor indexed="64"/>
      </patternFill>
    </fill>
    <fill>
      <patternFill patternType="solid">
        <fgColor indexed="44"/>
        <bgColor indexed="64"/>
      </patternFill>
    </fill>
  </fills>
  <borders count="33">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dashed">
        <color auto="1"/>
      </left>
      <right style="dashed">
        <color auto="1"/>
      </right>
      <top/>
      <bottom/>
      <diagonal/>
    </border>
    <border>
      <left style="dashed">
        <color auto="1"/>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medium">
        <color auto="1"/>
      </right>
      <top style="thin">
        <color indexed="9"/>
      </top>
      <bottom style="thin">
        <color indexed="9"/>
      </bottom>
      <diagonal/>
    </border>
    <border>
      <left style="thin">
        <color indexed="9"/>
      </left>
      <right style="thin">
        <color indexed="9"/>
      </right>
      <top style="thin">
        <color indexed="9"/>
      </top>
      <bottom/>
      <diagonal/>
    </border>
    <border>
      <left style="medium">
        <color auto="1"/>
      </left>
      <right/>
      <top style="thin">
        <color indexed="9"/>
      </top>
      <bottom style="thin">
        <color indexed="9"/>
      </bottom>
      <diagonal/>
    </border>
    <border>
      <left/>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right/>
      <top style="medium">
        <color auto="1"/>
      </top>
      <bottom style="medium">
        <color auto="1"/>
      </bottom>
      <diagonal/>
    </border>
    <border>
      <left/>
      <right style="thin">
        <color indexed="9"/>
      </right>
      <top style="thin">
        <color indexed="9"/>
      </top>
      <bottom style="thin">
        <color indexed="9"/>
      </bottom>
      <diagonal/>
    </border>
    <border>
      <left/>
      <right/>
      <top style="medium">
        <color auto="1"/>
      </top>
      <bottom/>
      <diagonal/>
    </border>
    <border>
      <left style="medium">
        <color auto="1"/>
      </left>
      <right/>
      <top style="thin">
        <color indexed="9"/>
      </top>
      <bottom/>
      <diagonal/>
    </border>
    <border>
      <left style="medium">
        <color indexed="9"/>
      </left>
      <right style="medium">
        <color indexed="9"/>
      </right>
      <top/>
      <bottom style="medium">
        <color indexed="9"/>
      </bottom>
      <diagonal/>
    </border>
    <border>
      <left/>
      <right/>
      <top/>
      <bottom style="thin">
        <color indexed="9"/>
      </bottom>
      <diagonal/>
    </border>
    <border>
      <left style="thin">
        <color indexed="9"/>
      </left>
      <right style="thin">
        <color indexed="9"/>
      </right>
      <top/>
      <bottom style="thin">
        <color indexed="9"/>
      </bottom>
      <diagonal/>
    </border>
    <border>
      <left style="thin">
        <color auto="1"/>
      </left>
      <right style="thin">
        <color auto="1"/>
      </right>
      <top style="thin">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s>
  <cellStyleXfs count="18">
    <xf numFmtId="0" fontId="0" fillId="0" borderId="0"/>
    <xf numFmtId="0" fontId="1" fillId="0" borderId="0" applyNumberFormat="0" applyFill="0" applyBorder="0" applyAlignment="0" applyProtection="0">
      <alignment vertical="top"/>
      <protection locked="0"/>
    </xf>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cellStyleXfs>
  <cellXfs count="156">
    <xf numFmtId="0" fontId="0" fillId="0" borderId="0" xfId="0"/>
    <xf numFmtId="0" fontId="2" fillId="0" borderId="0" xfId="0" applyFont="1"/>
    <xf numFmtId="0" fontId="5" fillId="0" borderId="0" xfId="0" applyFont="1" applyBorder="1" applyAlignment="1" applyProtection="1">
      <alignment horizontal="left"/>
      <protection locked="0"/>
    </xf>
    <xf numFmtId="0" fontId="5" fillId="0" borderId="0" xfId="0" applyFont="1" applyBorder="1" applyAlignment="1" applyProtection="1">
      <alignment horizontal="left" wrapText="1"/>
      <protection locked="0"/>
    </xf>
    <xf numFmtId="0" fontId="0" fillId="0" borderId="0" xfId="0" applyAlignment="1"/>
    <xf numFmtId="0" fontId="4" fillId="0" borderId="0" xfId="0" applyFont="1" applyBorder="1" applyAlignment="1" applyProtection="1">
      <alignment horizontal="left" wrapText="1"/>
      <protection locked="0"/>
    </xf>
    <xf numFmtId="0" fontId="0" fillId="0" borderId="0" xfId="0" applyBorder="1"/>
    <xf numFmtId="49" fontId="4"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2" borderId="1" xfId="0" applyFont="1" applyFill="1" applyBorder="1" applyAlignment="1">
      <alignment horizontal="left" vertical="center" wrapText="1"/>
    </xf>
    <xf numFmtId="0" fontId="4" fillId="2" borderId="1" xfId="0" applyFont="1" applyFill="1" applyBorder="1" applyAlignment="1">
      <alignment vertical="center" wrapText="1"/>
    </xf>
    <xf numFmtId="0" fontId="4" fillId="3" borderId="1"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3" fillId="0" borderId="5" xfId="0" applyFont="1" applyBorder="1" applyAlignment="1">
      <alignment vertical="top" wrapText="1"/>
    </xf>
    <xf numFmtId="0" fontId="6" fillId="0" borderId="3" xfId="0" applyFont="1" applyFill="1" applyBorder="1" applyAlignment="1">
      <alignment horizontal="center" vertical="center"/>
    </xf>
    <xf numFmtId="0" fontId="3" fillId="0" borderId="3" xfId="0" applyFont="1" applyFill="1" applyBorder="1" applyAlignment="1">
      <alignment vertical="top"/>
    </xf>
    <xf numFmtId="0" fontId="3" fillId="0" borderId="3" xfId="0" applyNumberFormat="1" applyFont="1" applyBorder="1" applyAlignment="1">
      <alignment vertical="top"/>
    </xf>
    <xf numFmtId="0" fontId="3" fillId="0" borderId="3" xfId="0" applyFont="1" applyBorder="1" applyAlignment="1">
      <alignment vertical="top"/>
    </xf>
    <xf numFmtId="0" fontId="3" fillId="0" borderId="3" xfId="0" applyFont="1" applyBorder="1" applyAlignment="1">
      <alignment vertical="top" wrapText="1"/>
    </xf>
    <xf numFmtId="0" fontId="3" fillId="0" borderId="3" xfId="0" applyFont="1" applyBorder="1" applyAlignment="1">
      <alignment horizontal="center" vertical="top" wrapText="1"/>
    </xf>
    <xf numFmtId="14" fontId="3" fillId="0" borderId="3" xfId="0" applyNumberFormat="1" applyFont="1" applyBorder="1" applyAlignment="1">
      <alignment vertical="top" wrapText="1"/>
    </xf>
    <xf numFmtId="0" fontId="3" fillId="0" borderId="0" xfId="0" applyFont="1" applyFill="1" applyBorder="1" applyAlignment="1">
      <alignment vertical="top"/>
    </xf>
    <xf numFmtId="14" fontId="3" fillId="0" borderId="3" xfId="0" applyNumberFormat="1" applyFont="1" applyFill="1" applyBorder="1" applyAlignment="1">
      <alignment vertical="top"/>
    </xf>
    <xf numFmtId="0" fontId="9" fillId="4" borderId="0" xfId="0" applyFont="1" applyFill="1" applyBorder="1" applyAlignment="1">
      <alignment vertical="top"/>
    </xf>
    <xf numFmtId="0" fontId="9" fillId="4" borderId="0" xfId="0" applyFont="1" applyFill="1" applyAlignment="1">
      <alignment vertical="top"/>
    </xf>
    <xf numFmtId="0" fontId="9" fillId="4" borderId="0" xfId="0" applyNumberFormat="1" applyFont="1" applyFill="1" applyBorder="1" applyAlignment="1">
      <alignment vertical="top"/>
    </xf>
    <xf numFmtId="0" fontId="9" fillId="4" borderId="6" xfId="0" applyFont="1" applyFill="1" applyBorder="1" applyAlignment="1">
      <alignment vertical="top"/>
    </xf>
    <xf numFmtId="0" fontId="9" fillId="4" borderId="6" xfId="0" applyFont="1" applyFill="1" applyBorder="1" applyAlignment="1">
      <alignment vertical="top" wrapText="1"/>
    </xf>
    <xf numFmtId="0" fontId="9" fillId="4" borderId="6" xfId="0" applyFont="1" applyFill="1" applyBorder="1" applyAlignment="1">
      <alignment horizontal="center" vertical="top" wrapText="1"/>
    </xf>
    <xf numFmtId="14" fontId="9" fillId="4" borderId="0" xfId="0" applyNumberFormat="1" applyFont="1" applyFill="1" applyBorder="1" applyAlignment="1">
      <alignment vertical="top"/>
    </xf>
    <xf numFmtId="0" fontId="3" fillId="0" borderId="0" xfId="0" applyFont="1" applyFill="1" applyBorder="1"/>
    <xf numFmtId="0" fontId="3" fillId="0" borderId="0" xfId="0" applyFont="1" applyFill="1"/>
    <xf numFmtId="0" fontId="3" fillId="0" borderId="0" xfId="0" applyNumberFormat="1" applyFont="1" applyBorder="1" applyAlignment="1">
      <alignment horizontal="center"/>
    </xf>
    <xf numFmtId="0" fontId="3" fillId="0" borderId="0" xfId="0" applyFont="1" applyBorder="1" applyAlignment="1">
      <alignment horizontal="center"/>
    </xf>
    <xf numFmtId="0" fontId="3" fillId="0" borderId="0" xfId="0" applyFont="1" applyBorder="1" applyAlignment="1">
      <alignment horizontal="center" wrapText="1"/>
    </xf>
    <xf numFmtId="0" fontId="3" fillId="0" borderId="3" xfId="0" applyFont="1" applyFill="1" applyBorder="1" applyAlignment="1">
      <alignment horizontal="left" vertical="center" wrapText="1"/>
    </xf>
    <xf numFmtId="0" fontId="3" fillId="3" borderId="5" xfId="0" applyFont="1" applyFill="1" applyBorder="1" applyAlignment="1" applyProtection="1">
      <alignment vertical="top" wrapText="1"/>
      <protection locked="0"/>
    </xf>
    <xf numFmtId="0" fontId="3" fillId="3" borderId="5" xfId="0" applyFont="1" applyFill="1" applyBorder="1" applyAlignment="1">
      <alignment vertical="top" wrapText="1"/>
    </xf>
    <xf numFmtId="0" fontId="3" fillId="3" borderId="5" xfId="0" applyFont="1" applyFill="1" applyBorder="1" applyAlignment="1">
      <alignment horizontal="center" vertical="top" wrapText="1"/>
    </xf>
    <xf numFmtId="14" fontId="4" fillId="3" borderId="5" xfId="0" applyNumberFormat="1" applyFont="1" applyFill="1" applyBorder="1" applyAlignment="1">
      <alignment vertical="top" wrapText="1"/>
    </xf>
    <xf numFmtId="0" fontId="5" fillId="3" borderId="5" xfId="0" applyFont="1" applyFill="1" applyBorder="1" applyAlignment="1" applyProtection="1">
      <alignment horizontal="center" vertical="top" wrapText="1"/>
      <protection locked="0"/>
    </xf>
    <xf numFmtId="0" fontId="0" fillId="0" borderId="0" xfId="0" applyBorder="1" applyAlignment="1"/>
    <xf numFmtId="0" fontId="3" fillId="0" borderId="0" xfId="0" applyFont="1" applyBorder="1" applyAlignment="1">
      <alignment wrapText="1"/>
    </xf>
    <xf numFmtId="0" fontId="3" fillId="0" borderId="7" xfId="0" applyFont="1" applyBorder="1" applyAlignment="1">
      <alignment wrapText="1"/>
    </xf>
    <xf numFmtId="0" fontId="3" fillId="0" borderId="0" xfId="0" applyFont="1" applyBorder="1" applyAlignment="1">
      <alignment horizontal="left" wrapText="1"/>
    </xf>
    <xf numFmtId="0" fontId="3" fillId="0" borderId="4" xfId="0" applyFont="1" applyFill="1" applyBorder="1" applyAlignment="1">
      <alignment horizontal="left" vertical="center" wrapText="1"/>
    </xf>
    <xf numFmtId="0" fontId="3" fillId="0" borderId="5" xfId="0" applyFont="1" applyFill="1" applyBorder="1" applyAlignment="1" applyProtection="1">
      <alignment vertical="top" wrapText="1"/>
      <protection locked="0"/>
    </xf>
    <xf numFmtId="0" fontId="0" fillId="0" borderId="0" xfId="0" applyAlignment="1">
      <alignment horizontal="center"/>
    </xf>
    <xf numFmtId="0" fontId="3" fillId="0" borderId="3" xfId="0" applyFont="1" applyFill="1" applyBorder="1" applyAlignment="1">
      <alignment vertical="top" wrapText="1"/>
    </xf>
    <xf numFmtId="0" fontId="3" fillId="0" borderId="3" xfId="0" applyNumberFormat="1" applyFont="1" applyBorder="1" applyAlignment="1">
      <alignment vertical="top" wrapText="1"/>
    </xf>
    <xf numFmtId="0" fontId="3" fillId="0" borderId="5" xfId="0" applyFont="1" applyFill="1" applyBorder="1" applyAlignment="1">
      <alignment vertical="top" wrapText="1"/>
    </xf>
    <xf numFmtId="0" fontId="8" fillId="0" borderId="0" xfId="0" applyFont="1" applyBorder="1"/>
    <xf numFmtId="0" fontId="3" fillId="0" borderId="5" xfId="0" applyFont="1" applyFill="1" applyBorder="1" applyAlignment="1">
      <alignment horizontal="center" vertical="top" wrapText="1"/>
    </xf>
    <xf numFmtId="0" fontId="0" fillId="0" borderId="8" xfId="0" applyBorder="1"/>
    <xf numFmtId="0" fontId="3" fillId="0" borderId="9" xfId="0" applyFont="1" applyBorder="1" applyProtection="1"/>
    <xf numFmtId="0" fontId="3" fillId="0" borderId="10" xfId="0" applyFont="1" applyBorder="1" applyProtection="1"/>
    <xf numFmtId="0" fontId="3" fillId="0" borderId="8" xfId="0" applyFont="1" applyBorder="1" applyProtection="1"/>
    <xf numFmtId="0" fontId="3" fillId="0" borderId="11" xfId="0" applyFont="1" applyBorder="1" applyProtection="1"/>
    <xf numFmtId="0" fontId="3" fillId="0" borderId="11" xfId="0" applyFont="1" applyBorder="1" applyAlignment="1" applyProtection="1"/>
    <xf numFmtId="0" fontId="3" fillId="0" borderId="13" xfId="0" applyFont="1" applyBorder="1" applyProtection="1"/>
    <xf numFmtId="0" fontId="3" fillId="0" borderId="14" xfId="0" applyFont="1" applyBorder="1" applyProtection="1"/>
    <xf numFmtId="0" fontId="7" fillId="0" borderId="8" xfId="0" applyFont="1" applyBorder="1" applyAlignment="1" applyProtection="1">
      <alignment horizontal="center" vertical="center"/>
    </xf>
    <xf numFmtId="0" fontId="6" fillId="0" borderId="8" xfId="0" applyFont="1" applyBorder="1" applyAlignment="1" applyProtection="1">
      <alignment horizontal="center" vertical="center" wrapText="1"/>
    </xf>
    <xf numFmtId="0" fontId="4" fillId="0" borderId="8" xfId="0" applyFont="1" applyBorder="1" applyAlignment="1" applyProtection="1">
      <alignment wrapText="1"/>
    </xf>
    <xf numFmtId="0" fontId="7" fillId="0" borderId="8" xfId="0" applyFont="1" applyBorder="1" applyAlignment="1" applyProtection="1">
      <alignment horizontal="center"/>
    </xf>
    <xf numFmtId="0" fontId="4" fillId="2" borderId="15" xfId="0" applyFont="1" applyFill="1" applyBorder="1" applyAlignment="1" applyProtection="1">
      <alignment wrapText="1"/>
      <protection locked="0"/>
    </xf>
    <xf numFmtId="0" fontId="3" fillId="5" borderId="3" xfId="0" applyFont="1" applyFill="1" applyBorder="1" applyAlignment="1">
      <alignment vertical="top" wrapText="1"/>
    </xf>
    <xf numFmtId="0" fontId="3" fillId="0" borderId="3" xfId="0" applyFont="1" applyFill="1" applyBorder="1"/>
    <xf numFmtId="0" fontId="3" fillId="0" borderId="3" xfId="0" applyFont="1" applyBorder="1" applyProtection="1"/>
    <xf numFmtId="0" fontId="11" fillId="0" borderId="3" xfId="0" applyFont="1" applyBorder="1" applyProtection="1"/>
    <xf numFmtId="0" fontId="10" fillId="0" borderId="3" xfId="0" applyFont="1" applyBorder="1" applyProtection="1"/>
    <xf numFmtId="0" fontId="3" fillId="0" borderId="16" xfId="0" applyFont="1" applyBorder="1" applyProtection="1"/>
    <xf numFmtId="0" fontId="7" fillId="0" borderId="16" xfId="0" applyFont="1" applyBorder="1" applyAlignment="1" applyProtection="1">
      <alignment horizontal="center" vertical="center"/>
    </xf>
    <xf numFmtId="0" fontId="6" fillId="0" borderId="16" xfId="0" applyFont="1" applyBorder="1" applyAlignment="1" applyProtection="1">
      <alignment horizontal="center" vertical="center" wrapText="1"/>
    </xf>
    <xf numFmtId="0" fontId="4" fillId="2" borderId="17" xfId="0" applyFont="1" applyFill="1" applyBorder="1" applyAlignment="1" applyProtection="1">
      <alignment wrapText="1"/>
      <protection locked="0"/>
    </xf>
    <xf numFmtId="0" fontId="4" fillId="2" borderId="17" xfId="0" applyFont="1" applyFill="1" applyBorder="1" applyAlignment="1" applyProtection="1">
      <alignment horizontal="left" wrapText="1"/>
      <protection locked="0"/>
    </xf>
    <xf numFmtId="0" fontId="3" fillId="0" borderId="18" xfId="0" applyFont="1" applyBorder="1" applyProtection="1"/>
    <xf numFmtId="0" fontId="4" fillId="0" borderId="19" xfId="0" applyFont="1" applyBorder="1" applyProtection="1"/>
    <xf numFmtId="0" fontId="4" fillId="0" borderId="19" xfId="0" applyFont="1" applyBorder="1" applyAlignment="1" applyProtection="1">
      <alignment wrapText="1"/>
    </xf>
    <xf numFmtId="0" fontId="3" fillId="0" borderId="20" xfId="0" applyFont="1" applyBorder="1" applyProtection="1"/>
    <xf numFmtId="0" fontId="4" fillId="0" borderId="21" xfId="0" applyFont="1" applyBorder="1" applyAlignment="1" applyProtection="1">
      <alignment wrapText="1"/>
    </xf>
    <xf numFmtId="0" fontId="3" fillId="0" borderId="22" xfId="0" applyFont="1" applyBorder="1" applyProtection="1"/>
    <xf numFmtId="0" fontId="4" fillId="0" borderId="3" xfId="0" applyFont="1"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1" fillId="0" borderId="3" xfId="1" applyBorder="1" applyAlignment="1" applyProtection="1"/>
    <xf numFmtId="0" fontId="6" fillId="0" borderId="3" xfId="0" applyFont="1" applyBorder="1" applyAlignment="1" applyProtection="1">
      <alignment horizontal="center" vertical="center" wrapText="1"/>
    </xf>
    <xf numFmtId="0" fontId="0" fillId="0" borderId="3" xfId="0" applyBorder="1" applyProtection="1">
      <protection locked="0"/>
    </xf>
    <xf numFmtId="0" fontId="3" fillId="0" borderId="3" xfId="0" applyFont="1" applyBorder="1" applyAlignment="1" applyProtection="1">
      <alignment horizontal="center" vertical="center" wrapText="1"/>
      <protection locked="0"/>
    </xf>
    <xf numFmtId="0" fontId="4" fillId="0" borderId="3" xfId="0" applyFont="1" applyBorder="1" applyProtection="1">
      <protection locked="0"/>
    </xf>
    <xf numFmtId="0" fontId="3" fillId="0" borderId="3" xfId="0" applyFont="1" applyBorder="1" applyAlignment="1" applyProtection="1">
      <alignment wrapText="1"/>
    </xf>
    <xf numFmtId="0" fontId="6" fillId="0" borderId="3" xfId="0" applyFont="1" applyBorder="1" applyAlignment="1" applyProtection="1">
      <alignment horizontal="center" vertical="center"/>
    </xf>
    <xf numFmtId="0" fontId="6" fillId="0" borderId="22" xfId="0" applyFont="1" applyBorder="1" applyAlignment="1" applyProtection="1">
      <alignment horizontal="center" vertical="center" wrapText="1"/>
    </xf>
    <xf numFmtId="0" fontId="4" fillId="0" borderId="5" xfId="0" applyFont="1" applyBorder="1" applyAlignment="1" applyProtection="1">
      <alignment wrapText="1"/>
    </xf>
    <xf numFmtId="0" fontId="7" fillId="0" borderId="5" xfId="0" applyFont="1" applyBorder="1" applyAlignment="1" applyProtection="1">
      <alignment horizontal="center" vertical="center"/>
    </xf>
    <xf numFmtId="0" fontId="3" fillId="0" borderId="5" xfId="0" applyFont="1" applyBorder="1" applyProtection="1"/>
    <xf numFmtId="0" fontId="4" fillId="0" borderId="22" xfId="0" applyFont="1" applyBorder="1" applyAlignment="1" applyProtection="1">
      <alignment horizontal="left"/>
    </xf>
    <xf numFmtId="0" fontId="7" fillId="0" borderId="22" xfId="0" applyFont="1" applyBorder="1" applyAlignment="1" applyProtection="1">
      <alignment horizontal="center"/>
    </xf>
    <xf numFmtId="0" fontId="0" fillId="0" borderId="16" xfId="0" applyBorder="1"/>
    <xf numFmtId="0" fontId="0" fillId="0" borderId="21" xfId="0" applyBorder="1"/>
    <xf numFmtId="0" fontId="5" fillId="0" borderId="0" xfId="0" applyFont="1" applyBorder="1"/>
    <xf numFmtId="0" fontId="4" fillId="0" borderId="9" xfId="0" applyFont="1" applyBorder="1" applyAlignment="1" applyProtection="1">
      <alignment horizontal="center" vertical="center"/>
    </xf>
    <xf numFmtId="0" fontId="4" fillId="2" borderId="23" xfId="0" applyFont="1" applyFill="1" applyBorder="1" applyAlignment="1" applyProtection="1">
      <alignment wrapText="1"/>
      <protection locked="0"/>
    </xf>
    <xf numFmtId="0" fontId="3" fillId="0" borderId="22" xfId="0" applyFont="1" applyBorder="1" applyAlignment="1" applyProtection="1">
      <alignment horizontal="center" vertical="center" wrapText="1"/>
      <protection locked="0"/>
    </xf>
    <xf numFmtId="0" fontId="4" fillId="2" borderId="24" xfId="0" applyFont="1" applyFill="1" applyBorder="1" applyAlignment="1" applyProtection="1">
      <alignment wrapText="1"/>
      <protection locked="0"/>
    </xf>
    <xf numFmtId="0" fontId="4" fillId="2" borderId="25" xfId="0" applyFont="1" applyFill="1" applyBorder="1" applyAlignment="1" applyProtection="1">
      <alignment wrapText="1"/>
      <protection locked="0"/>
    </xf>
    <xf numFmtId="0" fontId="12" fillId="0" borderId="3" xfId="0" applyFont="1" applyBorder="1" applyAlignment="1" applyProtection="1">
      <alignment horizontal="center" vertical="center"/>
    </xf>
    <xf numFmtId="0" fontId="4" fillId="0" borderId="26" xfId="0" applyFont="1" applyBorder="1" applyAlignment="1" applyProtection="1">
      <alignment horizontal="center" vertical="center" wrapText="1"/>
    </xf>
    <xf numFmtId="0" fontId="12" fillId="0" borderId="22" xfId="0" applyFont="1" applyBorder="1" applyAlignment="1" applyProtection="1">
      <alignment horizontal="center" vertical="center"/>
    </xf>
    <xf numFmtId="0" fontId="13" fillId="0" borderId="5" xfId="0" applyFont="1" applyBorder="1" applyAlignment="1" applyProtection="1">
      <alignment horizontal="center" vertical="center"/>
    </xf>
    <xf numFmtId="0" fontId="7" fillId="0" borderId="27" xfId="0" applyFont="1" applyBorder="1" applyAlignment="1" applyProtection="1">
      <alignment horizontal="center" vertical="center"/>
    </xf>
    <xf numFmtId="0" fontId="6" fillId="0" borderId="28" xfId="0" applyFont="1" applyBorder="1" applyAlignment="1" applyProtection="1">
      <alignment horizontal="center" vertical="center" wrapText="1"/>
    </xf>
    <xf numFmtId="0" fontId="3" fillId="0" borderId="27" xfId="0" applyFont="1" applyBorder="1" applyAlignment="1" applyProtection="1"/>
    <xf numFmtId="0" fontId="5" fillId="2" borderId="2" xfId="0" applyFont="1" applyFill="1" applyBorder="1" applyAlignment="1" applyProtection="1">
      <protection locked="0"/>
    </xf>
    <xf numFmtId="0" fontId="4" fillId="0" borderId="5" xfId="0" applyFont="1" applyBorder="1" applyAlignment="1" applyProtection="1">
      <alignment horizontal="center"/>
      <protection locked="0"/>
    </xf>
    <xf numFmtId="0" fontId="3" fillId="0" borderId="5" xfId="0" applyFont="1" applyBorder="1" applyProtection="1">
      <protection locked="0"/>
    </xf>
    <xf numFmtId="0" fontId="4" fillId="0" borderId="29" xfId="0" applyFont="1" applyBorder="1" applyAlignment="1" applyProtection="1">
      <alignment horizontal="center" vertical="center" wrapText="1"/>
    </xf>
    <xf numFmtId="0" fontId="0" fillId="0" borderId="0" xfId="0" applyBorder="1" applyAlignment="1">
      <alignment wrapText="1"/>
    </xf>
    <xf numFmtId="0" fontId="0" fillId="3" borderId="0" xfId="0" applyFill="1"/>
    <xf numFmtId="0" fontId="3" fillId="0" borderId="30" xfId="0" applyFont="1" applyBorder="1" applyProtection="1"/>
    <xf numFmtId="0" fontId="12" fillId="0" borderId="4" xfId="0" applyFont="1" applyBorder="1" applyAlignment="1" applyProtection="1">
      <alignment horizontal="center" vertical="center"/>
    </xf>
    <xf numFmtId="0" fontId="13" fillId="0" borderId="30" xfId="0" applyFont="1" applyBorder="1" applyAlignment="1" applyProtection="1">
      <alignment horizontal="center" vertical="center"/>
    </xf>
    <xf numFmtId="0" fontId="3" fillId="0" borderId="4" xfId="0" applyFont="1" applyBorder="1" applyProtection="1"/>
    <xf numFmtId="0" fontId="3" fillId="0" borderId="31" xfId="0" applyFont="1" applyBorder="1" applyProtection="1"/>
    <xf numFmtId="0" fontId="2" fillId="0" borderId="0" xfId="0" applyFont="1" applyFill="1"/>
    <xf numFmtId="0" fontId="2" fillId="6" borderId="0" xfId="0" applyFont="1" applyFill="1"/>
    <xf numFmtId="0" fontId="3" fillId="0" borderId="0" xfId="0" applyFont="1" applyAlignment="1">
      <alignment horizontal="left" vertical="top" wrapText="1"/>
    </xf>
    <xf numFmtId="0" fontId="3" fillId="0" borderId="0" xfId="0" applyFont="1" applyFill="1" applyAlignment="1">
      <alignment horizontal="left" wrapText="1"/>
    </xf>
    <xf numFmtId="0" fontId="3" fillId="0" borderId="0" xfId="0" applyFont="1" applyAlignment="1">
      <alignment horizontal="left" wrapText="1"/>
    </xf>
    <xf numFmtId="0" fontId="4" fillId="0" borderId="0" xfId="0" applyFont="1" applyFill="1" applyAlignment="1">
      <alignment horizontal="left" vertical="top" wrapText="1"/>
    </xf>
    <xf numFmtId="0" fontId="3" fillId="0" borderId="0" xfId="0" applyFont="1" applyFill="1" applyAlignment="1">
      <alignment horizontal="left" vertical="top" wrapText="1"/>
    </xf>
    <xf numFmtId="0" fontId="3" fillId="0" borderId="0" xfId="0" applyFont="1" applyAlignment="1">
      <alignment vertical="top" wrapText="1"/>
    </xf>
    <xf numFmtId="0" fontId="2" fillId="0" borderId="0" xfId="0" applyFont="1" applyAlignment="1">
      <alignment vertical="top" wrapText="1"/>
    </xf>
    <xf numFmtId="0" fontId="4" fillId="6" borderId="0" xfId="0" applyFont="1" applyFill="1" applyAlignment="1">
      <alignment horizontal="left" vertical="top" wrapText="1"/>
    </xf>
    <xf numFmtId="0" fontId="2" fillId="6" borderId="0" xfId="0" applyFont="1" applyFill="1" applyAlignment="1">
      <alignment vertical="top" wrapText="1"/>
    </xf>
    <xf numFmtId="0" fontId="2" fillId="0" borderId="0" xfId="0" applyFont="1" applyFill="1" applyAlignment="1">
      <alignment vertical="top" wrapText="1"/>
    </xf>
    <xf numFmtId="0" fontId="3" fillId="6" borderId="0" xfId="0" applyFont="1" applyFill="1" applyAlignment="1">
      <alignment horizontal="left" vertical="top" wrapText="1"/>
    </xf>
    <xf numFmtId="0" fontId="4" fillId="6" borderId="0" xfId="0" applyFont="1" applyFill="1" applyAlignment="1">
      <alignment horizontal="left" vertical="top"/>
    </xf>
    <xf numFmtId="0" fontId="3" fillId="0" borderId="0" xfId="0" applyFont="1" applyAlignment="1">
      <alignment horizontal="left" vertical="top"/>
    </xf>
    <xf numFmtId="0" fontId="2" fillId="0" borderId="0" xfId="0" applyFont="1" applyAlignment="1">
      <alignment wrapText="1"/>
    </xf>
    <xf numFmtId="0" fontId="6" fillId="0" borderId="0" xfId="0" applyFont="1" applyAlignment="1">
      <alignment horizontal="left" vertical="top" wrapText="1"/>
    </xf>
    <xf numFmtId="0" fontId="6" fillId="0" borderId="0" xfId="0" applyFont="1" applyAlignment="1">
      <alignment wrapText="1"/>
    </xf>
    <xf numFmtId="0" fontId="3" fillId="0" borderId="0" xfId="0" applyFont="1" applyAlignment="1">
      <alignment wrapText="1"/>
    </xf>
    <xf numFmtId="0" fontId="4" fillId="6" borderId="0" xfId="0" applyFont="1" applyFill="1" applyAlignment="1">
      <alignment vertical="top" wrapText="1"/>
    </xf>
    <xf numFmtId="0" fontId="3" fillId="0" borderId="12" xfId="0" applyFont="1" applyBorder="1" applyAlignment="1" applyProtection="1">
      <alignment wrapText="1"/>
    </xf>
    <xf numFmtId="0" fontId="2" fillId="0" borderId="3" xfId="0" applyFont="1" applyBorder="1" applyAlignment="1">
      <alignment vertical="top"/>
    </xf>
    <xf numFmtId="0" fontId="2" fillId="0" borderId="3" xfId="0" applyNumberFormat="1" applyFont="1" applyBorder="1" applyAlignment="1">
      <alignment vertical="top"/>
    </xf>
    <xf numFmtId="0" fontId="2" fillId="0" borderId="3" xfId="0" applyFont="1" applyBorder="1" applyAlignment="1">
      <alignment vertical="top" wrapText="1"/>
    </xf>
    <xf numFmtId="0" fontId="2" fillId="0" borderId="32" xfId="0" applyFont="1" applyBorder="1" applyAlignment="1">
      <alignment vertical="top" wrapText="1"/>
    </xf>
    <xf numFmtId="0" fontId="2" fillId="0" borderId="0" xfId="0" applyFont="1" applyAlignment="1">
      <alignment vertical="top" wrapText="1"/>
    </xf>
    <xf numFmtId="0" fontId="14" fillId="6" borderId="0" xfId="0" applyFont="1" applyFill="1" applyAlignment="1">
      <alignment horizontal="center" vertical="center" wrapText="1"/>
    </xf>
    <xf numFmtId="0" fontId="14" fillId="6" borderId="0" xfId="0" applyFont="1" applyFill="1" applyBorder="1" applyAlignment="1">
      <alignment horizontal="center" vertical="center" wrapText="1"/>
    </xf>
    <xf numFmtId="0" fontId="15" fillId="0" borderId="0" xfId="0" applyFont="1" applyAlignment="1">
      <alignment horizontal="center" vertical="center"/>
    </xf>
    <xf numFmtId="0" fontId="16" fillId="6" borderId="0" xfId="0" applyFont="1" applyFill="1" applyAlignment="1">
      <alignment horizontal="center" vertical="center" wrapText="1"/>
    </xf>
    <xf numFmtId="0" fontId="17" fillId="0" borderId="0" xfId="0" applyFont="1" applyAlignment="1">
      <alignment horizontal="center" vertical="center"/>
    </xf>
  </cellXfs>
  <cellStyles count="18">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portal.best.adinternal.com/sites/dev/sbd/qahome/Code%20Complete%20Acceptance/140016SignatureReadyFormsTPIT2.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ignature%20Ready%20to%20Quality%20Cent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Historical Forms"/>
      <sheetName val="Peachtree Forms"/>
      <sheetName val="Form Frequency"/>
      <sheetName val="UI Test"/>
      <sheetName val="Encryption &amp; Security"/>
      <sheetName val="Integration"/>
      <sheetName val="W-2 Builder"/>
      <sheetName val="Year-end Tax Update"/>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sheetData sheetId="1">
        <row r="20">
          <cell r="D20">
            <v>140016</v>
          </cell>
          <cell r="I20">
            <v>2</v>
          </cell>
        </row>
        <row r="21">
          <cell r="D21" t="str">
            <v>Signature Ready Forms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Peachtree Forms"/>
      <sheetName val="Form Frequency"/>
      <sheetName val="Integration"/>
      <sheetName val="W-2 Scenarios"/>
      <sheetName val="Historical Forms"/>
      <sheetName val="Encryption &amp; Security"/>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X35"/>
  <sheetViews>
    <sheetView zoomScale="150" zoomScaleNormal="150" zoomScalePageLayoutView="150" workbookViewId="0">
      <selection activeCell="J6" sqref="J6"/>
    </sheetView>
  </sheetViews>
  <sheetFormatPr defaultColWidth="8.85546875" defaultRowHeight="12" thickBottom="1" x14ac:dyDescent="0.25"/>
  <cols>
    <col min="1" max="1" width="12.42578125" style="56" customWidth="1"/>
    <col min="2" max="2" width="10.7109375" style="62" customWidth="1"/>
    <col min="3" max="3" width="9.42578125" style="62" customWidth="1"/>
    <col min="4" max="4" width="15.7109375" style="62" customWidth="1"/>
    <col min="5" max="5" width="9.7109375" style="62" customWidth="1"/>
    <col min="6" max="6" width="8.85546875" style="61" customWidth="1"/>
    <col min="7" max="7" width="5.140625" style="58" customWidth="1"/>
    <col min="8" max="8" width="7.42578125" style="58" customWidth="1"/>
    <col min="9" max="9" width="8.7109375" style="58" customWidth="1"/>
    <col min="10" max="10" width="9.7109375" style="58" customWidth="1"/>
    <col min="11" max="11" width="10.85546875" style="58" customWidth="1"/>
    <col min="12" max="12" width="32.42578125" style="58" customWidth="1"/>
    <col min="13" max="13" width="4.42578125" style="58" customWidth="1"/>
    <col min="14" max="14" width="3.85546875" style="58" customWidth="1"/>
    <col min="15" max="15" width="4.28515625" style="58" customWidth="1"/>
    <col min="16" max="16" width="4.42578125" style="58" customWidth="1"/>
    <col min="17" max="17" width="3.85546875" style="58" customWidth="1"/>
    <col min="18" max="18" width="5.42578125" style="58" customWidth="1"/>
    <col min="19" max="19" width="4.7109375" style="58" customWidth="1"/>
    <col min="20" max="20" width="4.28515625" style="58" customWidth="1"/>
    <col min="21" max="21" width="4.42578125" style="58" customWidth="1"/>
    <col min="22" max="22" width="5.140625" style="58" customWidth="1"/>
    <col min="23" max="24" width="4.42578125" style="58" customWidth="1"/>
    <col min="25" max="25" width="4.85546875" style="58" customWidth="1"/>
    <col min="26" max="26" width="4.7109375" style="58" customWidth="1"/>
    <col min="27" max="27" width="5.85546875" style="58" customWidth="1"/>
    <col min="28" max="28" width="5" style="58" customWidth="1"/>
    <col min="29" max="29" width="3.85546875" style="58" customWidth="1"/>
    <col min="30" max="30" width="5" style="58" customWidth="1"/>
    <col min="31" max="31" width="4.28515625" style="58" customWidth="1"/>
    <col min="32" max="32" width="3.85546875" style="58" customWidth="1"/>
    <col min="33" max="33" width="4.28515625" style="58" customWidth="1"/>
    <col min="34" max="34" width="4.42578125" style="58" customWidth="1"/>
    <col min="35" max="35" width="5.42578125" style="58" customWidth="1"/>
    <col min="36" max="36" width="4.140625" style="58" customWidth="1"/>
    <col min="37" max="42" width="5" style="58" customWidth="1"/>
    <col min="43" max="43" width="4" style="58" customWidth="1"/>
    <col min="44" max="44" width="4.140625" style="58" customWidth="1"/>
    <col min="45" max="49" width="5" style="58" customWidth="1"/>
    <col min="50" max="16384" width="8.85546875" style="58"/>
  </cols>
  <sheetData>
    <row r="1" spans="1:49" s="59" customFormat="1" thickBot="1" x14ac:dyDescent="0.25">
      <c r="A1" s="58"/>
      <c r="F1" s="58"/>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row>
    <row r="2" spans="1:49" ht="18" customHeight="1" thickBot="1" x14ac:dyDescent="0.25">
      <c r="A2" s="57"/>
      <c r="B2" s="114" t="s">
        <v>37</v>
      </c>
      <c r="C2" s="67"/>
      <c r="D2" s="67"/>
      <c r="E2" s="103"/>
      <c r="F2" s="145"/>
    </row>
    <row r="3" spans="1:49" ht="18.75" customHeight="1" thickBot="1" x14ac:dyDescent="0.25">
      <c r="A3" s="57"/>
      <c r="B3" s="105"/>
      <c r="C3" s="77"/>
      <c r="D3" s="76"/>
      <c r="E3" s="106"/>
      <c r="F3" s="78"/>
      <c r="G3" s="59"/>
      <c r="H3" s="59"/>
      <c r="I3" s="59"/>
      <c r="J3" s="59"/>
      <c r="K3" s="59"/>
    </row>
    <row r="4" spans="1:49" ht="34.5" thickBot="1" x14ac:dyDescent="0.25">
      <c r="A4" s="102"/>
      <c r="B4" s="117" t="s">
        <v>43</v>
      </c>
      <c r="C4" s="117" t="s">
        <v>23</v>
      </c>
      <c r="D4" s="117" t="s">
        <v>24</v>
      </c>
      <c r="E4" s="117" t="s">
        <v>25</v>
      </c>
      <c r="F4" s="117" t="s">
        <v>40</v>
      </c>
      <c r="G4" s="117" t="s">
        <v>42</v>
      </c>
      <c r="H4" s="117" t="s">
        <v>44</v>
      </c>
      <c r="I4" s="117" t="s">
        <v>51</v>
      </c>
      <c r="J4" s="117" t="s">
        <v>46</v>
      </c>
      <c r="K4" s="108" t="s">
        <v>45</v>
      </c>
      <c r="L4" s="73"/>
    </row>
    <row r="5" spans="1:49" ht="11.25" x14ac:dyDescent="0.2">
      <c r="B5" s="115"/>
      <c r="C5" s="116"/>
      <c r="D5" s="116"/>
      <c r="E5" s="116"/>
      <c r="F5" s="96"/>
      <c r="G5" s="96"/>
      <c r="H5" s="96"/>
      <c r="I5" s="120"/>
      <c r="J5" s="96"/>
      <c r="K5" s="108"/>
      <c r="L5" s="73"/>
    </row>
    <row r="6" spans="1:49" ht="12.75" x14ac:dyDescent="0.2">
      <c r="B6" s="85"/>
      <c r="C6" s="86" t="s">
        <v>0</v>
      </c>
      <c r="D6" s="87">
        <f>'Sheet 1'!$B$3</f>
        <v>8</v>
      </c>
      <c r="E6" s="87">
        <f>'Sheet 1'!$B$4</f>
        <v>0</v>
      </c>
      <c r="F6" s="87">
        <f>'Sheet 1'!$B$6</f>
        <v>0</v>
      </c>
      <c r="G6" s="87">
        <f>'Sheet 1'!$B$7</f>
        <v>0</v>
      </c>
      <c r="H6" s="107">
        <f>'Sheet 1'!$B$8</f>
        <v>0</v>
      </c>
      <c r="I6" s="121">
        <f>'Sheet 1'!$B$9</f>
        <v>0</v>
      </c>
      <c r="J6" s="107">
        <f>D6-F6-I6</f>
        <v>8</v>
      </c>
      <c r="K6" s="113"/>
      <c r="L6" s="73"/>
    </row>
    <row r="7" spans="1:49" ht="12.75" x14ac:dyDescent="0.2">
      <c r="B7" s="85"/>
      <c r="C7" s="86" t="s">
        <v>3</v>
      </c>
      <c r="D7" s="87">
        <f>'Sheet 2'!$B$3</f>
        <v>0</v>
      </c>
      <c r="E7" s="87">
        <f>'Sheet 2'!$B$4</f>
        <v>0</v>
      </c>
      <c r="F7" s="107">
        <f>'Sheet 2'!$B$6</f>
        <v>0</v>
      </c>
      <c r="G7" s="107">
        <f>'Sheet 2'!$B$7</f>
        <v>0</v>
      </c>
      <c r="H7" s="107">
        <f>'Sheet 2'!$B$8</f>
        <v>0</v>
      </c>
      <c r="I7" s="121">
        <f>'Sheet 2'!$B$9</f>
        <v>0</v>
      </c>
      <c r="J7" s="107">
        <f t="shared" ref="J7:J11" si="0">D7-F7-I7</f>
        <v>0</v>
      </c>
      <c r="K7" s="113"/>
      <c r="L7" s="73"/>
    </row>
    <row r="8" spans="1:49" ht="12.75" x14ac:dyDescent="0.2">
      <c r="B8" s="85"/>
      <c r="C8" s="86" t="s">
        <v>4</v>
      </c>
      <c r="D8" s="87">
        <f>'Sheet 3'!$B$3</f>
        <v>0</v>
      </c>
      <c r="E8" s="87">
        <f>'Sheet 3'!$B$4</f>
        <v>0</v>
      </c>
      <c r="F8" s="107">
        <f>'Sheet 3'!$B$6</f>
        <v>0</v>
      </c>
      <c r="G8" s="107">
        <f>'Sheet 3'!$B$7</f>
        <v>0</v>
      </c>
      <c r="H8" s="107">
        <f>'Sheet 3'!$B$8</f>
        <v>0</v>
      </c>
      <c r="I8" s="121">
        <f>'Sheet 3'!$B$9</f>
        <v>0</v>
      </c>
      <c r="J8" s="107">
        <f t="shared" si="0"/>
        <v>0</v>
      </c>
      <c r="K8" s="113"/>
      <c r="L8" s="73"/>
    </row>
    <row r="9" spans="1:49" ht="12.75" x14ac:dyDescent="0.2">
      <c r="B9" s="85"/>
      <c r="C9" s="86" t="s">
        <v>5</v>
      </c>
      <c r="D9" s="87">
        <f>'Sheet 4'!$B$3</f>
        <v>0</v>
      </c>
      <c r="E9" s="87">
        <f>'Sheet 4'!$B$4</f>
        <v>0</v>
      </c>
      <c r="F9" s="107">
        <f>'Sheet 4'!$B$6</f>
        <v>0</v>
      </c>
      <c r="G9" s="107">
        <f>'Sheet 4'!$B$7</f>
        <v>0</v>
      </c>
      <c r="H9" s="107">
        <f>'Sheet 4'!$B$8</f>
        <v>0</v>
      </c>
      <c r="I9" s="121">
        <f>'Sheet 4'!$B$9</f>
        <v>0</v>
      </c>
      <c r="J9" s="107">
        <f t="shared" si="0"/>
        <v>0</v>
      </c>
      <c r="K9" s="113"/>
      <c r="L9" s="73"/>
    </row>
    <row r="10" spans="1:49" ht="12.75" x14ac:dyDescent="0.2">
      <c r="B10" s="85"/>
      <c r="C10" s="86" t="s">
        <v>1</v>
      </c>
      <c r="D10" s="87">
        <f>'Sheet 5'!$B$3</f>
        <v>0</v>
      </c>
      <c r="E10" s="87">
        <f>'Sheet 5'!$B$4</f>
        <v>0</v>
      </c>
      <c r="F10" s="107">
        <f>'Sheet 5'!$B$6</f>
        <v>0</v>
      </c>
      <c r="G10" s="107">
        <f>'Sheet 5'!$B$7</f>
        <v>0</v>
      </c>
      <c r="H10" s="107">
        <f>'Sheet 5'!$B$8</f>
        <v>0</v>
      </c>
      <c r="I10" s="121">
        <f>'Sheet 5'!$B$9</f>
        <v>0</v>
      </c>
      <c r="J10" s="107">
        <f t="shared" si="0"/>
        <v>0</v>
      </c>
      <c r="K10" s="113"/>
      <c r="L10" s="73"/>
    </row>
    <row r="11" spans="1:49" ht="12.75" x14ac:dyDescent="0.2">
      <c r="B11" s="85"/>
      <c r="C11" s="86" t="s">
        <v>2</v>
      </c>
      <c r="D11" s="87">
        <f>'Sheet 6'!$B$3</f>
        <v>0</v>
      </c>
      <c r="E11" s="87">
        <f>'Sheet 6'!$B$4</f>
        <v>0</v>
      </c>
      <c r="F11" s="107">
        <f>'Sheet 6'!$B$6</f>
        <v>0</v>
      </c>
      <c r="G11" s="107">
        <f>'Sheet 6'!$B$7</f>
        <v>0</v>
      </c>
      <c r="H11" s="107">
        <f>'Sheet 6'!$B$8</f>
        <v>0</v>
      </c>
      <c r="I11" s="121">
        <f>'Sheet 6'!$B$9</f>
        <v>0</v>
      </c>
      <c r="J11" s="107">
        <f t="shared" si="0"/>
        <v>0</v>
      </c>
      <c r="K11" s="113"/>
      <c r="L11" s="73"/>
    </row>
    <row r="12" spans="1:49" ht="12.75" x14ac:dyDescent="0.2">
      <c r="B12" s="85"/>
      <c r="C12" s="86" t="s">
        <v>259</v>
      </c>
      <c r="D12" s="87">
        <f>'Sheet 7'!$B$3</f>
        <v>0</v>
      </c>
      <c r="E12" s="87">
        <f>'Sheet 7'!$B$4</f>
        <v>0</v>
      </c>
      <c r="F12" s="107">
        <f>'Sheet 7'!$B$6</f>
        <v>0</v>
      </c>
      <c r="G12" s="107">
        <f>'Sheet 7'!$B$7</f>
        <v>0</v>
      </c>
      <c r="H12" s="107">
        <f>'Sheet 7'!$B$8</f>
        <v>0</v>
      </c>
      <c r="I12" s="121">
        <f>'Sheet 7'!$B$9</f>
        <v>0</v>
      </c>
      <c r="J12" s="107">
        <f t="shared" ref="J12" si="1">D12-F12-I12</f>
        <v>0</v>
      </c>
      <c r="K12" s="113"/>
      <c r="L12" s="73"/>
    </row>
    <row r="13" spans="1:49" ht="12.75" x14ac:dyDescent="0.2">
      <c r="B13" s="85"/>
      <c r="C13" s="86" t="s">
        <v>260</v>
      </c>
      <c r="D13" s="87" t="e">
        <f>#REF!</f>
        <v>#REF!</v>
      </c>
      <c r="E13" s="87" t="e">
        <f>#REF!</f>
        <v>#REF!</v>
      </c>
      <c r="F13" s="107" t="e">
        <f>#REF!</f>
        <v>#REF!</v>
      </c>
      <c r="G13" s="107" t="e">
        <f>#REF!</f>
        <v>#REF!</v>
      </c>
      <c r="H13" s="107" t="e">
        <f>#REF!</f>
        <v>#REF!</v>
      </c>
      <c r="I13" s="121" t="e">
        <f>#REF!</f>
        <v>#REF!</v>
      </c>
      <c r="J13" s="107" t="e">
        <f t="shared" ref="J13" si="2">D13-F13-I13</f>
        <v>#REF!</v>
      </c>
      <c r="K13" s="113"/>
      <c r="L13" s="73"/>
    </row>
    <row r="14" spans="1:49" ht="12.75" x14ac:dyDescent="0.2">
      <c r="B14" s="85"/>
      <c r="C14" s="86" t="s">
        <v>261</v>
      </c>
      <c r="D14" s="87">
        <f>'Sheet 9'!$B$3</f>
        <v>0</v>
      </c>
      <c r="E14" s="87">
        <f>'Sheet 9'!$B$4</f>
        <v>0</v>
      </c>
      <c r="F14" s="107">
        <f>'Sheet 9'!$B$6</f>
        <v>0</v>
      </c>
      <c r="G14" s="107">
        <f>'Sheet 9'!$B$7</f>
        <v>0</v>
      </c>
      <c r="H14" s="107">
        <f>'Sheet 9'!$B$8</f>
        <v>0</v>
      </c>
      <c r="I14" s="121">
        <f>'Sheet 9'!$B$9</f>
        <v>0</v>
      </c>
      <c r="J14" s="107">
        <f>D14-F14-I14</f>
        <v>0</v>
      </c>
      <c r="K14" s="113"/>
      <c r="L14" s="73"/>
    </row>
    <row r="15" spans="1:49" ht="12.75" x14ac:dyDescent="0.2">
      <c r="B15" s="89"/>
      <c r="C15" s="88"/>
      <c r="D15" s="87"/>
      <c r="E15" s="87"/>
      <c r="F15" s="71"/>
      <c r="G15" s="72"/>
      <c r="H15" s="107"/>
      <c r="I15" s="121"/>
      <c r="J15" s="107"/>
      <c r="K15" s="113"/>
      <c r="L15" s="73"/>
    </row>
    <row r="16" spans="1:49" thickBot="1" x14ac:dyDescent="0.25">
      <c r="B16" s="84"/>
      <c r="C16" s="97"/>
      <c r="D16" s="98"/>
      <c r="E16" s="98"/>
      <c r="F16" s="83"/>
      <c r="G16" s="83"/>
      <c r="H16" s="109"/>
      <c r="I16" s="109"/>
      <c r="J16" s="109"/>
      <c r="K16" s="113"/>
      <c r="L16" s="73"/>
    </row>
    <row r="17" spans="1:50" ht="11.25" x14ac:dyDescent="0.2">
      <c r="B17" s="90"/>
      <c r="C17" s="94" t="s">
        <v>36</v>
      </c>
      <c r="D17" s="95" t="e">
        <f t="shared" ref="D17:I17" si="3">SUM(D6:D16)</f>
        <v>#REF!</v>
      </c>
      <c r="E17" s="95" t="e">
        <f t="shared" si="3"/>
        <v>#REF!</v>
      </c>
      <c r="F17" s="110" t="e">
        <f t="shared" si="3"/>
        <v>#REF!</v>
      </c>
      <c r="G17" s="110" t="e">
        <f t="shared" si="3"/>
        <v>#REF!</v>
      </c>
      <c r="H17" s="110" t="e">
        <f t="shared" si="3"/>
        <v>#REF!</v>
      </c>
      <c r="I17" s="122" t="e">
        <f t="shared" si="3"/>
        <v>#REF!</v>
      </c>
      <c r="J17" s="110" t="e">
        <f>D17-F17-I17</f>
        <v>#REF!</v>
      </c>
      <c r="K17" s="113"/>
      <c r="L17" s="73"/>
    </row>
    <row r="18" spans="1:50" ht="11.25" x14ac:dyDescent="0.2">
      <c r="B18" s="90"/>
      <c r="C18" s="91"/>
      <c r="D18" s="92"/>
      <c r="E18" s="92"/>
      <c r="F18" s="70"/>
      <c r="G18" s="70"/>
      <c r="H18" s="70"/>
      <c r="I18" s="123"/>
      <c r="J18" s="70"/>
      <c r="K18" s="111"/>
      <c r="L18" s="74"/>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row>
    <row r="19" spans="1:50" ht="11.25" x14ac:dyDescent="0.2">
      <c r="B19" s="90"/>
      <c r="C19" s="91"/>
      <c r="D19" s="92"/>
      <c r="E19" s="92"/>
      <c r="F19" s="70"/>
      <c r="G19" s="70"/>
      <c r="H19" s="70"/>
      <c r="I19" s="123"/>
      <c r="J19" s="70"/>
      <c r="K19" s="111"/>
      <c r="L19" s="74"/>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row>
    <row r="20" spans="1:50" thickBot="1" x14ac:dyDescent="0.25">
      <c r="B20" s="104"/>
      <c r="C20" s="83"/>
      <c r="D20" s="93"/>
      <c r="E20" s="93"/>
      <c r="F20" s="83"/>
      <c r="G20" s="83"/>
      <c r="H20" s="83"/>
      <c r="I20" s="124"/>
      <c r="J20" s="83"/>
      <c r="K20" s="112"/>
      <c r="L20" s="75"/>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row>
    <row r="21" spans="1:50" ht="13.5" thickBot="1" x14ac:dyDescent="0.25">
      <c r="B21" s="79"/>
      <c r="C21" s="80"/>
      <c r="D21" s="80"/>
      <c r="E21" s="80"/>
      <c r="F21" s="81"/>
      <c r="G21" s="82"/>
      <c r="H21" s="82"/>
      <c r="I21" s="82"/>
      <c r="J21" s="100"/>
      <c r="K21"/>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row>
    <row r="22" spans="1:50" s="59" customFormat="1" thickBot="1" x14ac:dyDescent="0.25">
      <c r="A22" s="56"/>
      <c r="B22" s="62"/>
      <c r="C22" s="62"/>
      <c r="D22" s="62"/>
      <c r="E22" s="62"/>
      <c r="F22" s="61"/>
    </row>
    <row r="23" spans="1:50" thickBot="1" x14ac:dyDescent="0.25">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row>
    <row r="24" spans="1:50" thickBot="1" x14ac:dyDescent="0.25">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row>
    <row r="25" spans="1:50" thickBot="1" x14ac:dyDescent="0.25">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row>
    <row r="26" spans="1:50" thickBot="1" x14ac:dyDescent="0.25">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row>
    <row r="27" spans="1:50" thickBot="1" x14ac:dyDescent="0.25">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row>
    <row r="28" spans="1:50" thickBot="1" x14ac:dyDescent="0.25">
      <c r="G28" s="66"/>
      <c r="H28" s="66"/>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row>
    <row r="29" spans="1:50" thickBot="1" x14ac:dyDescent="0.25">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row>
    <row r="30" spans="1:50" ht="11.25" x14ac:dyDescent="0.2"/>
    <row r="31" spans="1:50" ht="11.25" x14ac:dyDescent="0.2"/>
    <row r="32" spans="1:50" ht="11.25" x14ac:dyDescent="0.2"/>
    <row r="33" ht="11.25" x14ac:dyDescent="0.2"/>
    <row r="34" ht="11.25" x14ac:dyDescent="0.2"/>
    <row r="35" ht="11.25" x14ac:dyDescent="0.2"/>
  </sheetData>
  <sheetProtection formatCells="0" formatColumns="0" formatRows="0" insertColumns="0" insertRows="0"/>
  <customSheetViews>
    <customSheetView guid="{5321402B-B058-4F4F-8475-9E1E96D7736F}" fitToPage="1" showRuler="0">
      <selection activeCell="B3" sqref="B3"/>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2BD53965-7AF9-443B-A3EB-1551C1B2D989}"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BA73FC38-77F8-4097-B035-D49EB8C8B5C0}"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s>
  <phoneticPr fontId="0" type="noConversion"/>
  <hyperlinks>
    <hyperlink ref="C11" location="'Sheet 6'!A1" display="Sheet 6"/>
    <hyperlink ref="C10" location="'Sheet 5'!A1" display="Sheet 5"/>
    <hyperlink ref="C9" location="'Sheet 4'!A1" display="Sheet 4"/>
    <hyperlink ref="C8" location="'Sheet 3'!A1" display="Sheet 3"/>
    <hyperlink ref="C7" location="'Sheet 2'!A1" display="Sheet 2"/>
    <hyperlink ref="C6" location="'Sheet 1'!A1" display="Sheet 1"/>
    <hyperlink ref="C12" location="'Sheet 7'!A1" display="Sheet 7"/>
    <hyperlink ref="C13" location="'Sheet 8'!A1" display="Sheet 8"/>
    <hyperlink ref="C14" location="'Sheet 9'!A1" display="Sheet 9"/>
  </hyperlinks>
  <pageMargins left="0.18" right="0.18" top="1.1200000000000001" bottom="0.51" header="0.5" footer="0.18"/>
  <pageSetup scale="47" orientation="landscape"/>
  <headerFooter alignWithMargins="0">
    <oddHeader>&amp;L&amp;"Arial,Bold"Company Name: Sage Software
Confidential&amp;"Arial,Regular"
&amp;R&amp;D  &amp;T
&amp;"Arial,Bold"Sheet:  &amp;A</oddHeader>
    <oddFooter>&amp;CPage &amp;P&amp;R&amp;F</oddFooter>
  </headerFooter>
  <ignoredErrors>
    <ignoredError sqref="D15 D18 E6 D6 E15:E16 E18:E20" unlocked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626"/>
  <sheetViews>
    <sheetView zoomScale="200" zoomScaleNormal="200" zoomScalePageLayoutView="200" workbookViewId="0">
      <pane ySplit="11" topLeftCell="A15" activePane="bottomLeft" state="frozen"/>
      <selection pane="bottomLeft" activeCell="R16" sqref="R16"/>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8</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47" t="s">
        <v>262</v>
      </c>
      <c r="D13" s="146" t="s">
        <v>16</v>
      </c>
      <c r="E13" s="147" t="s">
        <v>263</v>
      </c>
      <c r="F13" s="148" t="s">
        <v>264</v>
      </c>
      <c r="G13" s="68"/>
      <c r="H13" s="68"/>
      <c r="I13" s="68"/>
      <c r="J13" s="20"/>
      <c r="K13" s="52"/>
      <c r="L13" s="52"/>
      <c r="M13" s="52"/>
      <c r="N13" s="54"/>
      <c r="O13" s="21"/>
      <c r="P13" s="20"/>
      <c r="Q13" s="22"/>
      <c r="R13" s="15"/>
    </row>
    <row r="14" spans="1:18" x14ac:dyDescent="0.2">
      <c r="A14" s="48"/>
      <c r="B14" s="17"/>
      <c r="C14" s="18"/>
      <c r="D14" s="146" t="s">
        <v>265</v>
      </c>
      <c r="E14" s="147" t="s">
        <v>266</v>
      </c>
      <c r="F14" s="20"/>
      <c r="G14" s="68"/>
      <c r="H14" s="68"/>
      <c r="I14" s="68"/>
      <c r="J14" s="20"/>
      <c r="K14" s="52"/>
      <c r="L14" s="52"/>
      <c r="M14" s="52"/>
      <c r="N14" s="54"/>
      <c r="O14" s="21"/>
      <c r="P14" s="20"/>
      <c r="Q14" s="22"/>
      <c r="R14" s="50"/>
    </row>
    <row r="15" spans="1:18" x14ac:dyDescent="0.2">
      <c r="A15" s="48"/>
      <c r="B15" s="17"/>
      <c r="C15" s="18"/>
      <c r="D15" s="146" t="s">
        <v>267</v>
      </c>
      <c r="E15" s="148" t="s">
        <v>268</v>
      </c>
      <c r="F15" s="148" t="s">
        <v>269</v>
      </c>
      <c r="G15" s="68"/>
      <c r="H15" s="68"/>
      <c r="I15" s="68"/>
      <c r="J15" s="20"/>
      <c r="K15" s="52"/>
      <c r="L15" s="52"/>
      <c r="M15" s="52"/>
      <c r="N15" s="54"/>
      <c r="O15" s="21"/>
      <c r="P15" s="20"/>
      <c r="Q15" s="22"/>
      <c r="R15" s="50"/>
    </row>
    <row r="16" spans="1:18" x14ac:dyDescent="0.2">
      <c r="A16" s="48"/>
      <c r="B16" s="17"/>
      <c r="C16" s="18"/>
      <c r="D16" s="146" t="s">
        <v>270</v>
      </c>
      <c r="E16" s="147" t="s">
        <v>271</v>
      </c>
      <c r="F16" s="148" t="s">
        <v>272</v>
      </c>
      <c r="G16" s="68"/>
      <c r="H16" s="68"/>
      <c r="I16" s="68"/>
      <c r="J16" s="20"/>
      <c r="K16" s="52"/>
      <c r="L16" s="52"/>
      <c r="M16" s="52"/>
      <c r="N16" s="54"/>
      <c r="O16" s="21"/>
      <c r="P16" s="20"/>
      <c r="Q16" s="22"/>
      <c r="R16" s="50"/>
    </row>
    <row r="17" spans="1:18" x14ac:dyDescent="0.2">
      <c r="A17" s="48"/>
      <c r="B17" s="17"/>
      <c r="C17" s="147" t="s">
        <v>280</v>
      </c>
      <c r="D17" s="146" t="s">
        <v>16</v>
      </c>
      <c r="E17" s="148" t="s">
        <v>281</v>
      </c>
      <c r="F17" s="20"/>
      <c r="G17" s="68"/>
      <c r="H17" s="68"/>
      <c r="I17" s="68"/>
      <c r="J17" s="20"/>
      <c r="K17" s="52"/>
      <c r="L17" s="52"/>
      <c r="M17" s="52"/>
      <c r="N17" s="54"/>
      <c r="O17" s="21"/>
      <c r="P17" s="20"/>
      <c r="Q17" s="22"/>
      <c r="R17" s="17"/>
    </row>
    <row r="18" spans="1:18" x14ac:dyDescent="0.2">
      <c r="A18" s="48"/>
      <c r="B18" s="17"/>
      <c r="C18" s="18"/>
      <c r="D18" s="146" t="s">
        <v>265</v>
      </c>
      <c r="E18" s="148" t="s">
        <v>273</v>
      </c>
      <c r="F18" s="20"/>
      <c r="G18" s="68"/>
      <c r="H18" s="68"/>
      <c r="I18" s="68"/>
      <c r="J18" s="20"/>
      <c r="K18" s="52"/>
      <c r="L18" s="52"/>
      <c r="M18" s="52"/>
      <c r="N18" s="54"/>
      <c r="O18" s="21"/>
      <c r="P18" s="20"/>
      <c r="Q18" s="22"/>
      <c r="R18" s="17"/>
    </row>
    <row r="19" spans="1:18" x14ac:dyDescent="0.2">
      <c r="A19" s="48"/>
      <c r="B19" s="17"/>
      <c r="C19" s="147" t="s">
        <v>282</v>
      </c>
      <c r="D19" s="146" t="s">
        <v>16</v>
      </c>
      <c r="E19" s="148" t="s">
        <v>281</v>
      </c>
      <c r="F19" s="20"/>
      <c r="G19" s="68"/>
      <c r="H19" s="68"/>
      <c r="I19" s="68"/>
      <c r="J19" s="20"/>
      <c r="K19" s="52"/>
      <c r="L19" s="52"/>
      <c r="M19" s="52"/>
      <c r="N19" s="54"/>
      <c r="O19" s="21"/>
      <c r="P19" s="20"/>
      <c r="Q19" s="22"/>
      <c r="R19" s="15"/>
    </row>
    <row r="20" spans="1:18" ht="22.5" x14ac:dyDescent="0.2">
      <c r="A20" s="48"/>
      <c r="B20" s="17"/>
      <c r="C20" s="18"/>
      <c r="D20" s="146" t="s">
        <v>265</v>
      </c>
      <c r="E20" s="148" t="s">
        <v>275</v>
      </c>
      <c r="F20" s="20"/>
      <c r="G20" s="68"/>
      <c r="H20" s="68"/>
      <c r="I20" s="68"/>
      <c r="J20" s="20"/>
      <c r="K20" s="52"/>
      <c r="L20" s="52"/>
      <c r="M20" s="52"/>
      <c r="N20" s="54"/>
      <c r="O20" s="21"/>
      <c r="P20" s="20"/>
      <c r="Q20" s="22"/>
      <c r="R20" s="50"/>
    </row>
    <row r="21" spans="1:18" x14ac:dyDescent="0.2">
      <c r="A21" s="48"/>
      <c r="B21" s="17"/>
      <c r="C21" s="147" t="s">
        <v>283</v>
      </c>
      <c r="D21" s="146" t="s">
        <v>16</v>
      </c>
      <c r="E21" s="148" t="s">
        <v>281</v>
      </c>
      <c r="F21" s="20"/>
      <c r="G21" s="68"/>
      <c r="H21" s="68"/>
      <c r="I21" s="68"/>
      <c r="J21" s="20"/>
      <c r="K21" s="52"/>
      <c r="L21" s="52"/>
      <c r="M21" s="52"/>
      <c r="N21" s="54"/>
      <c r="O21" s="21"/>
      <c r="P21" s="20"/>
      <c r="Q21" s="22"/>
      <c r="R21" s="50"/>
    </row>
    <row r="22" spans="1:18" x14ac:dyDescent="0.2">
      <c r="A22" s="48"/>
      <c r="B22" s="17"/>
      <c r="C22" s="18"/>
      <c r="D22" s="146" t="s">
        <v>265</v>
      </c>
      <c r="E22" s="147" t="s">
        <v>274</v>
      </c>
      <c r="F22" s="20"/>
      <c r="G22" s="68"/>
      <c r="H22" s="68"/>
      <c r="I22" s="68"/>
      <c r="J22" s="20"/>
      <c r="K22" s="52"/>
      <c r="L22" s="52"/>
      <c r="M22" s="52"/>
      <c r="N22" s="54"/>
      <c r="O22" s="21"/>
      <c r="P22" s="20"/>
      <c r="Q22" s="22"/>
      <c r="R22" s="50"/>
    </row>
    <row r="23" spans="1:18" x14ac:dyDescent="0.2">
      <c r="A23" s="48"/>
      <c r="B23" s="17"/>
      <c r="C23" s="147" t="s">
        <v>284</v>
      </c>
      <c r="D23" s="146" t="s">
        <v>16</v>
      </c>
      <c r="E23" s="148" t="s">
        <v>281</v>
      </c>
      <c r="F23" s="20"/>
      <c r="G23" s="68"/>
      <c r="H23" s="68"/>
      <c r="I23" s="68"/>
      <c r="J23" s="20"/>
      <c r="K23" s="52"/>
      <c r="L23" s="52"/>
      <c r="M23" s="52"/>
      <c r="N23" s="54"/>
      <c r="O23" s="21"/>
      <c r="P23" s="20"/>
      <c r="Q23" s="22"/>
      <c r="R23" s="17"/>
    </row>
    <row r="24" spans="1:18" ht="22.5" x14ac:dyDescent="0.2">
      <c r="A24" s="48"/>
      <c r="B24" s="17"/>
      <c r="C24" s="147"/>
      <c r="D24" s="146" t="s">
        <v>265</v>
      </c>
      <c r="E24" s="148" t="s">
        <v>276</v>
      </c>
      <c r="F24" s="20"/>
      <c r="G24" s="68"/>
      <c r="H24" s="68"/>
      <c r="I24" s="68"/>
      <c r="J24" s="20"/>
      <c r="K24" s="52"/>
      <c r="L24" s="52"/>
      <c r="M24" s="52"/>
      <c r="N24" s="54"/>
      <c r="O24" s="21"/>
      <c r="P24" s="20"/>
      <c r="Q24" s="22"/>
      <c r="R24" s="17"/>
    </row>
    <row r="25" spans="1:18" x14ac:dyDescent="0.2">
      <c r="A25" s="48"/>
      <c r="B25" s="17"/>
      <c r="C25" s="146" t="s">
        <v>285</v>
      </c>
      <c r="D25" s="146" t="s">
        <v>16</v>
      </c>
      <c r="E25" s="148" t="s">
        <v>281</v>
      </c>
      <c r="F25" s="20"/>
      <c r="G25" s="68"/>
      <c r="H25" s="68"/>
      <c r="I25" s="68"/>
      <c r="J25" s="20"/>
      <c r="K25" s="52"/>
      <c r="L25" s="52"/>
      <c r="M25" s="52"/>
      <c r="N25" s="54"/>
      <c r="O25" s="21"/>
      <c r="P25" s="20"/>
      <c r="Q25" s="22"/>
      <c r="R25" s="17"/>
    </row>
    <row r="26" spans="1:18" ht="22.5" x14ac:dyDescent="0.2">
      <c r="A26" s="48"/>
      <c r="B26" s="50"/>
      <c r="C26" s="51"/>
      <c r="D26" s="146" t="s">
        <v>265</v>
      </c>
      <c r="E26" s="148" t="s">
        <v>277</v>
      </c>
      <c r="F26" s="20"/>
      <c r="G26" s="68"/>
      <c r="H26" s="68"/>
      <c r="I26" s="68"/>
      <c r="J26" s="20"/>
      <c r="K26" s="52"/>
      <c r="L26" s="52"/>
      <c r="M26" s="52"/>
      <c r="N26" s="54"/>
      <c r="O26" s="21"/>
      <c r="P26" s="20"/>
      <c r="Q26" s="22"/>
      <c r="R26" s="17"/>
    </row>
    <row r="27" spans="1:18" x14ac:dyDescent="0.2">
      <c r="A27" s="48"/>
      <c r="B27" s="17"/>
      <c r="C27" s="146" t="s">
        <v>286</v>
      </c>
      <c r="D27" s="146" t="s">
        <v>16</v>
      </c>
      <c r="E27" s="149" t="s">
        <v>281</v>
      </c>
      <c r="F27" s="20"/>
      <c r="G27" s="68"/>
      <c r="H27" s="68"/>
      <c r="I27" s="68"/>
      <c r="J27" s="20"/>
      <c r="K27" s="52"/>
      <c r="L27" s="52"/>
      <c r="M27" s="52"/>
      <c r="N27" s="54"/>
      <c r="O27" s="21"/>
      <c r="P27" s="20"/>
      <c r="Q27" s="22"/>
      <c r="R27" s="17"/>
    </row>
    <row r="28" spans="1:18" x14ac:dyDescent="0.2">
      <c r="A28" s="48"/>
      <c r="B28" s="17"/>
      <c r="C28" s="147"/>
      <c r="D28" s="146" t="s">
        <v>265</v>
      </c>
      <c r="E28" s="148" t="s">
        <v>278</v>
      </c>
      <c r="F28" s="20"/>
      <c r="G28" s="68"/>
      <c r="H28" s="68"/>
      <c r="I28" s="68"/>
      <c r="J28" s="20"/>
      <c r="K28" s="52"/>
      <c r="L28" s="52"/>
      <c r="M28" s="52"/>
      <c r="N28" s="54"/>
      <c r="O28" s="21"/>
      <c r="P28" s="20"/>
      <c r="Q28" s="22"/>
      <c r="R28" s="17"/>
    </row>
    <row r="29" spans="1:18" x14ac:dyDescent="0.2">
      <c r="A29" s="48"/>
      <c r="B29" s="50"/>
      <c r="C29" s="146" t="s">
        <v>287</v>
      </c>
      <c r="D29" s="146" t="s">
        <v>16</v>
      </c>
      <c r="E29" s="149" t="s">
        <v>281</v>
      </c>
      <c r="F29" s="20"/>
      <c r="G29" s="68"/>
      <c r="H29" s="68"/>
      <c r="I29" s="68"/>
      <c r="J29" s="20"/>
      <c r="K29" s="52"/>
      <c r="L29" s="52"/>
      <c r="M29" s="52"/>
      <c r="N29" s="54"/>
      <c r="O29" s="21"/>
      <c r="P29" s="20"/>
      <c r="Q29" s="22"/>
      <c r="R29" s="17"/>
    </row>
    <row r="30" spans="1:18" x14ac:dyDescent="0.2">
      <c r="A30" s="48"/>
      <c r="B30" s="51"/>
      <c r="C30" s="1"/>
      <c r="D30" s="146" t="s">
        <v>265</v>
      </c>
      <c r="E30" s="148" t="s">
        <v>279</v>
      </c>
      <c r="F30" s="20"/>
      <c r="G30" s="68"/>
      <c r="H30" s="68"/>
      <c r="I30" s="68"/>
      <c r="J30" s="20"/>
      <c r="K30" s="52"/>
      <c r="L30" s="52"/>
      <c r="M30" s="52"/>
      <c r="N30" s="54"/>
      <c r="O30" s="21"/>
      <c r="P30" s="20"/>
      <c r="Q30" s="22"/>
      <c r="R30" s="17"/>
    </row>
    <row r="31" spans="1:18" x14ac:dyDescent="0.2">
      <c r="A31" s="48"/>
      <c r="B31" s="17"/>
      <c r="C31" s="147"/>
      <c r="D31" s="19"/>
      <c r="E31" s="148"/>
      <c r="F31" s="20"/>
      <c r="G31" s="68"/>
      <c r="H31" s="68"/>
      <c r="I31" s="68"/>
      <c r="J31" s="20"/>
      <c r="K31" s="52"/>
      <c r="L31" s="52"/>
      <c r="M31" s="52"/>
      <c r="N31" s="54"/>
      <c r="O31" s="21"/>
      <c r="P31" s="20"/>
      <c r="Q31" s="22"/>
      <c r="R31" s="50"/>
    </row>
    <row r="32" spans="1:18" x14ac:dyDescent="0.2">
      <c r="A32" s="48"/>
      <c r="B32" s="17"/>
      <c r="C32" s="18"/>
      <c r="D32" s="19"/>
      <c r="E32" s="148"/>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customFormat="1" x14ac:dyDescent="0.2">
      <c r="G625" s="20"/>
      <c r="H625" s="20"/>
      <c r="I625" s="20"/>
    </row>
    <row r="626" spans="7:9" customFormat="1" ht="18" x14ac:dyDescent="0.2">
      <c r="G626" s="29"/>
      <c r="H626" s="29"/>
      <c r="I626" s="29"/>
    </row>
  </sheetData>
  <customSheetViews>
    <customSheetView guid="{5321402B-B058-4F4F-8475-9E1E96D7736F}" showAutoFilter="1" showRuler="0">
      <pane ySplit="10" topLeftCell="A11" activePane="bottomLeft" state="frozenSplit"/>
      <selection pane="bottomLeft" activeCell="B5" sqref="B5"/>
      <pageMargins left="0.7" right="0.7" top="0.75" bottom="0.75" header="0.3" footer="0.3"/>
      <pageSetup orientation="portrait"/>
      <headerFooter alignWithMargins="0"/>
      <autoFilter ref="B1"/>
    </customSheetView>
    <customSheetView guid="{2BD53965-7AF9-443B-A3EB-1551C1B2D989}"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BA73FC38-77F8-4097-B035-D49EB8C8B5C0}"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s>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11267" r:id="rId5" name="Button 3">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opLeftCell="H1"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1506"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2530"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3554"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4578"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5602"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D18" sqref="D18"/>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customFormat="1" x14ac:dyDescent="0.2">
      <c r="G625" s="20"/>
      <c r="H625" s="20"/>
      <c r="I625" s="20"/>
    </row>
    <row r="626" spans="7:9" customFormat="1" ht="18" x14ac:dyDescent="0.2">
      <c r="G626" s="29"/>
      <c r="H626" s="29"/>
      <c r="I62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6626"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abSelected="1" topLeftCell="A16" workbookViewId="0">
      <selection activeCell="E13" sqref="E13"/>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9698"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2"/>
  </sheetPr>
  <dimension ref="A1:M16"/>
  <sheetViews>
    <sheetView workbookViewId="0">
      <selection activeCell="B19" sqref="B19"/>
    </sheetView>
  </sheetViews>
  <sheetFormatPr defaultColWidth="8.85546875" defaultRowHeight="12.75" x14ac:dyDescent="0.2"/>
  <cols>
    <col min="1" max="1" width="4.85546875" style="55" customWidth="1"/>
    <col min="2" max="2" width="79.42578125" style="55" customWidth="1"/>
    <col min="3" max="16384" width="8.85546875" style="55"/>
  </cols>
  <sheetData>
    <row r="1" spans="1:13" x14ac:dyDescent="0.2">
      <c r="A1" s="6"/>
      <c r="B1" s="118"/>
      <c r="C1" s="6"/>
      <c r="D1" s="6"/>
      <c r="E1" s="6"/>
      <c r="F1" s="6"/>
      <c r="G1" s="6"/>
      <c r="H1" s="6"/>
      <c r="I1" s="6"/>
      <c r="J1" s="6"/>
      <c r="K1" s="6"/>
      <c r="L1" s="6"/>
      <c r="M1" s="99"/>
    </row>
    <row r="2" spans="1:13" x14ac:dyDescent="0.2">
      <c r="A2" s="101" t="s">
        <v>48</v>
      </c>
      <c r="B2" s="118"/>
      <c r="C2" s="6"/>
      <c r="D2" s="6"/>
      <c r="E2" s="6"/>
      <c r="F2" s="6"/>
      <c r="G2" s="6"/>
      <c r="H2" s="6"/>
      <c r="I2" s="6"/>
      <c r="J2" s="6"/>
      <c r="K2" s="6"/>
      <c r="L2" s="6"/>
      <c r="M2" s="99"/>
    </row>
    <row r="3" spans="1:13" customFormat="1" x14ac:dyDescent="0.2"/>
    <row r="4" spans="1:13" x14ac:dyDescent="0.2">
      <c r="A4" s="6"/>
      <c r="B4" s="118" t="s">
        <v>47</v>
      </c>
      <c r="C4" s="6"/>
      <c r="D4" s="6"/>
      <c r="E4" s="6"/>
      <c r="F4" s="6"/>
      <c r="G4" s="6"/>
      <c r="H4" s="6"/>
      <c r="I4" s="6"/>
      <c r="J4" s="6"/>
      <c r="K4" s="6"/>
      <c r="L4" s="6"/>
      <c r="M4" s="99"/>
    </row>
    <row r="5" spans="1:13" x14ac:dyDescent="0.2">
      <c r="A5" s="6"/>
      <c r="B5" s="118"/>
      <c r="C5" s="6"/>
      <c r="D5" s="6"/>
      <c r="E5" s="6"/>
      <c r="F5" s="6"/>
      <c r="G5" s="6"/>
      <c r="H5" s="6"/>
      <c r="I5" s="6"/>
      <c r="J5" s="6"/>
      <c r="K5" s="6"/>
      <c r="L5" s="6"/>
      <c r="M5" s="99"/>
    </row>
    <row r="6" spans="1:13" ht="12.75" customHeight="1" x14ac:dyDescent="0.2">
      <c r="A6" s="6"/>
      <c r="B6" s="118" t="s">
        <v>50</v>
      </c>
      <c r="C6" s="6"/>
      <c r="D6" s="6"/>
      <c r="E6" s="6"/>
      <c r="F6" s="6"/>
      <c r="G6" s="6"/>
      <c r="H6" s="6"/>
      <c r="I6" s="6"/>
      <c r="J6" s="6"/>
      <c r="K6" s="6"/>
      <c r="L6" s="6"/>
      <c r="M6" s="99"/>
    </row>
    <row r="7" spans="1:13" x14ac:dyDescent="0.2">
      <c r="A7" s="6"/>
      <c r="B7" s="118"/>
      <c r="C7" s="6"/>
      <c r="D7" s="6"/>
      <c r="E7" s="6"/>
      <c r="F7" s="6"/>
      <c r="G7" s="6"/>
      <c r="H7" s="6"/>
      <c r="I7" s="6"/>
      <c r="J7" s="6"/>
      <c r="K7" s="6"/>
      <c r="L7" s="6"/>
      <c r="M7" s="99"/>
    </row>
    <row r="8" spans="1:13" ht="38.25" x14ac:dyDescent="0.2">
      <c r="A8" s="6"/>
      <c r="B8" s="118" t="s">
        <v>53</v>
      </c>
      <c r="C8" s="6"/>
      <c r="D8" s="6"/>
      <c r="E8" s="6"/>
      <c r="F8" s="6"/>
      <c r="G8" s="6"/>
      <c r="H8" s="6"/>
      <c r="I8" s="6"/>
      <c r="J8" s="6"/>
      <c r="K8" s="6"/>
      <c r="L8" s="6"/>
      <c r="M8" s="99"/>
    </row>
    <row r="9" spans="1:13" x14ac:dyDescent="0.2">
      <c r="A9" s="6"/>
      <c r="B9" s="118"/>
      <c r="C9" s="53"/>
      <c r="D9" s="6"/>
      <c r="E9" s="6"/>
      <c r="F9" s="6"/>
      <c r="G9" s="6"/>
      <c r="H9" s="6"/>
      <c r="I9" s="6"/>
      <c r="J9" s="6"/>
      <c r="K9" s="6"/>
      <c r="L9" s="6"/>
      <c r="M9" s="99"/>
    </row>
    <row r="10" spans="1:13" ht="51" x14ac:dyDescent="0.2">
      <c r="A10" s="6"/>
      <c r="B10" s="118" t="s">
        <v>250</v>
      </c>
      <c r="C10" s="6"/>
      <c r="D10" s="6"/>
      <c r="E10" s="6"/>
      <c r="F10" s="6"/>
      <c r="G10" s="6"/>
      <c r="H10" s="6"/>
      <c r="I10" s="6"/>
      <c r="J10" s="6"/>
      <c r="K10" s="6"/>
      <c r="L10" s="6"/>
      <c r="M10" s="99"/>
    </row>
    <row r="11" spans="1:13" x14ac:dyDescent="0.2">
      <c r="A11" s="6"/>
      <c r="B11" s="118"/>
      <c r="C11" s="6"/>
      <c r="D11" s="6"/>
      <c r="E11" s="6"/>
      <c r="F11" s="6"/>
      <c r="G11" s="6"/>
      <c r="H11" s="6"/>
      <c r="I11" s="6"/>
      <c r="J11" s="6"/>
      <c r="K11" s="6"/>
      <c r="L11" s="6"/>
      <c r="M11" s="99"/>
    </row>
    <row r="12" spans="1:13" x14ac:dyDescent="0.2">
      <c r="A12" s="6"/>
      <c r="B12" s="118" t="s">
        <v>251</v>
      </c>
      <c r="C12" s="6"/>
      <c r="D12" s="6"/>
      <c r="E12" s="6"/>
      <c r="F12" s="6"/>
      <c r="G12" s="6"/>
      <c r="H12" s="6"/>
      <c r="I12" s="6"/>
      <c r="J12" s="6"/>
      <c r="K12" s="6"/>
      <c r="L12" s="6"/>
      <c r="M12" s="99"/>
    </row>
    <row r="13" spans="1:13" x14ac:dyDescent="0.2">
      <c r="A13" s="6"/>
      <c r="B13" s="118"/>
      <c r="C13" s="6"/>
      <c r="D13" s="6"/>
      <c r="E13" s="6"/>
      <c r="F13" s="6"/>
      <c r="G13" s="6"/>
      <c r="H13" s="6"/>
      <c r="I13" s="6"/>
      <c r="J13" s="6"/>
      <c r="K13" s="6"/>
      <c r="L13" s="6"/>
      <c r="M13" s="99"/>
    </row>
    <row r="14" spans="1:13" ht="25.5" x14ac:dyDescent="0.2">
      <c r="A14" s="6"/>
      <c r="B14" s="118" t="s">
        <v>252</v>
      </c>
      <c r="C14" s="6"/>
      <c r="D14" s="6"/>
      <c r="E14" s="6"/>
      <c r="F14" s="6"/>
      <c r="G14" s="6"/>
      <c r="H14" s="6"/>
      <c r="I14" s="6"/>
      <c r="J14" s="6"/>
      <c r="K14" s="6"/>
      <c r="L14" s="6"/>
      <c r="M14" s="99"/>
    </row>
    <row r="15" spans="1:13" x14ac:dyDescent="0.2">
      <c r="A15" s="6"/>
      <c r="B15" s="118"/>
      <c r="C15" s="6"/>
      <c r="D15" s="6"/>
      <c r="E15" s="6"/>
      <c r="F15" s="6"/>
      <c r="G15" s="6"/>
      <c r="H15" s="6"/>
      <c r="I15" s="6"/>
      <c r="J15" s="6"/>
      <c r="K15" s="6"/>
      <c r="L15" s="6"/>
      <c r="M15" s="99"/>
    </row>
    <row r="16" spans="1:13" x14ac:dyDescent="0.2">
      <c r="A16" s="100"/>
      <c r="B16" s="100"/>
      <c r="C16" s="100"/>
      <c r="D16" s="100"/>
      <c r="E16" s="100"/>
      <c r="F16" s="100"/>
      <c r="G16" s="100"/>
      <c r="H16" s="100"/>
      <c r="I16" s="100"/>
      <c r="J16" s="100"/>
      <c r="K16" s="100"/>
      <c r="L16" s="100"/>
    </row>
  </sheetData>
  <phoneticPr fontId="2"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7"/>
  <sheetViews>
    <sheetView workbookViewId="0">
      <selection activeCell="B217" sqref="B217:C217"/>
    </sheetView>
  </sheetViews>
  <sheetFormatPr defaultColWidth="8.85546875" defaultRowHeight="12.75" x14ac:dyDescent="0.2"/>
  <cols>
    <col min="1" max="1" width="4.7109375" style="1" customWidth="1"/>
    <col min="2" max="2" width="47.42578125" style="133" customWidth="1"/>
    <col min="3" max="3" width="47" style="133" customWidth="1"/>
    <col min="4" max="4" width="8" style="1" customWidth="1"/>
    <col min="5" max="5" width="8.85546875" style="1"/>
  </cols>
  <sheetData>
    <row r="1" spans="1:5" ht="15" x14ac:dyDescent="0.2">
      <c r="A1" s="152" t="s">
        <v>54</v>
      </c>
      <c r="B1" s="153"/>
      <c r="C1" s="153"/>
      <c r="D1" s="153"/>
      <c r="E1" s="126"/>
    </row>
    <row r="2" spans="1:5" x14ac:dyDescent="0.2">
      <c r="B2" s="127" t="s">
        <v>55</v>
      </c>
      <c r="C2" s="128" t="s">
        <v>56</v>
      </c>
    </row>
    <row r="3" spans="1:5" x14ac:dyDescent="0.2">
      <c r="B3" s="127"/>
      <c r="C3" s="127" t="s">
        <v>57</v>
      </c>
    </row>
    <row r="4" spans="1:5" x14ac:dyDescent="0.2">
      <c r="B4" s="127"/>
      <c r="C4" s="127" t="s">
        <v>58</v>
      </c>
    </row>
    <row r="5" spans="1:5" x14ac:dyDescent="0.2">
      <c r="B5" s="127"/>
      <c r="C5" s="127" t="s">
        <v>59</v>
      </c>
    </row>
    <row r="6" spans="1:5" x14ac:dyDescent="0.2">
      <c r="B6" s="127"/>
      <c r="C6" s="127" t="s">
        <v>60</v>
      </c>
    </row>
    <row r="7" spans="1:5" x14ac:dyDescent="0.2">
      <c r="B7" s="127"/>
      <c r="C7" s="127"/>
    </row>
    <row r="8" spans="1:5" ht="22.5" x14ac:dyDescent="0.2">
      <c r="B8" s="127" t="s">
        <v>61</v>
      </c>
      <c r="C8" s="129" t="s">
        <v>62</v>
      </c>
    </row>
    <row r="9" spans="1:5" x14ac:dyDescent="0.2">
      <c r="B9" s="127"/>
      <c r="C9" s="127" t="s">
        <v>63</v>
      </c>
    </row>
    <row r="10" spans="1:5" x14ac:dyDescent="0.2">
      <c r="B10" s="127"/>
      <c r="C10" s="127" t="s">
        <v>64</v>
      </c>
    </row>
    <row r="11" spans="1:5" x14ac:dyDescent="0.2">
      <c r="B11" s="127"/>
      <c r="C11" s="127" t="s">
        <v>65</v>
      </c>
    </row>
    <row r="12" spans="1:5" x14ac:dyDescent="0.2">
      <c r="B12" s="127"/>
      <c r="C12" s="127" t="s">
        <v>66</v>
      </c>
    </row>
    <row r="13" spans="1:5" x14ac:dyDescent="0.2">
      <c r="B13" s="130"/>
      <c r="C13" s="131" t="s">
        <v>67</v>
      </c>
    </row>
    <row r="14" spans="1:5" x14ac:dyDescent="0.2">
      <c r="B14" s="127"/>
      <c r="C14" s="127" t="s">
        <v>68</v>
      </c>
    </row>
    <row r="15" spans="1:5" x14ac:dyDescent="0.2">
      <c r="B15" s="127"/>
      <c r="C15" s="127"/>
    </row>
    <row r="16" spans="1:5" ht="22.5" x14ac:dyDescent="0.2">
      <c r="B16" s="127" t="s">
        <v>69</v>
      </c>
      <c r="C16" s="127" t="s">
        <v>70</v>
      </c>
    </row>
    <row r="17" spans="1:5" x14ac:dyDescent="0.2">
      <c r="B17" s="127"/>
      <c r="C17" s="127"/>
    </row>
    <row r="18" spans="1:5" ht="22.5" x14ac:dyDescent="0.2">
      <c r="A18" s="125"/>
      <c r="B18" s="131" t="s">
        <v>71</v>
      </c>
      <c r="C18" s="131" t="s">
        <v>72</v>
      </c>
      <c r="D18" s="125"/>
    </row>
    <row r="19" spans="1:5" x14ac:dyDescent="0.2">
      <c r="B19" s="132"/>
    </row>
    <row r="20" spans="1:5" ht="15" x14ac:dyDescent="0.2">
      <c r="A20" s="154" t="s">
        <v>73</v>
      </c>
      <c r="B20" s="155"/>
      <c r="C20" s="155"/>
      <c r="D20" s="155"/>
      <c r="E20" s="126"/>
    </row>
    <row r="21" spans="1:5" x14ac:dyDescent="0.2">
      <c r="B21" s="127"/>
      <c r="C21" s="127"/>
    </row>
    <row r="22" spans="1:5" x14ac:dyDescent="0.2">
      <c r="A22" s="126"/>
      <c r="B22" s="134" t="s">
        <v>74</v>
      </c>
      <c r="C22" s="135"/>
      <c r="D22" s="126"/>
      <c r="E22" s="126"/>
    </row>
    <row r="23" spans="1:5" x14ac:dyDescent="0.2">
      <c r="B23" s="127" t="s">
        <v>75</v>
      </c>
      <c r="C23" s="127" t="s">
        <v>76</v>
      </c>
    </row>
    <row r="24" spans="1:5" x14ac:dyDescent="0.2">
      <c r="B24" s="130"/>
      <c r="C24" s="136"/>
    </row>
    <row r="25" spans="1:5" ht="22.5" x14ac:dyDescent="0.2">
      <c r="B25" s="127" t="s">
        <v>77</v>
      </c>
      <c r="C25" s="129" t="s">
        <v>78</v>
      </c>
    </row>
    <row r="26" spans="1:5" ht="22.5" x14ac:dyDescent="0.2">
      <c r="B26" s="127"/>
      <c r="C26" s="127" t="s">
        <v>79</v>
      </c>
    </row>
    <row r="27" spans="1:5" x14ac:dyDescent="0.2">
      <c r="B27" s="130"/>
      <c r="C27" s="127" t="s">
        <v>80</v>
      </c>
    </row>
    <row r="28" spans="1:5" x14ac:dyDescent="0.2">
      <c r="B28" s="127"/>
      <c r="C28" s="127" t="s">
        <v>81</v>
      </c>
    </row>
    <row r="29" spans="1:5" x14ac:dyDescent="0.2">
      <c r="B29" s="127"/>
      <c r="C29" s="127"/>
    </row>
    <row r="30" spans="1:5" ht="22.5" x14ac:dyDescent="0.2">
      <c r="B30" s="127" t="s">
        <v>82</v>
      </c>
      <c r="C30" s="129" t="s">
        <v>83</v>
      </c>
    </row>
    <row r="31" spans="1:5" x14ac:dyDescent="0.2">
      <c r="B31" s="130"/>
      <c r="C31" s="127" t="s">
        <v>84</v>
      </c>
    </row>
    <row r="32" spans="1:5" ht="22.5" x14ac:dyDescent="0.2">
      <c r="B32" s="127"/>
      <c r="C32" s="127" t="s">
        <v>85</v>
      </c>
    </row>
    <row r="33" spans="2:3" x14ac:dyDescent="0.2">
      <c r="B33" s="127"/>
      <c r="C33" s="127"/>
    </row>
    <row r="34" spans="2:3" ht="22.5" x14ac:dyDescent="0.2">
      <c r="B34" s="127" t="s">
        <v>86</v>
      </c>
      <c r="C34" s="128" t="s">
        <v>245</v>
      </c>
    </row>
    <row r="35" spans="2:3" x14ac:dyDescent="0.2">
      <c r="B35" s="130"/>
      <c r="C35" s="131"/>
    </row>
    <row r="36" spans="2:3" ht="22.5" x14ac:dyDescent="0.2">
      <c r="B36" s="127" t="s">
        <v>87</v>
      </c>
      <c r="C36" s="129" t="s">
        <v>88</v>
      </c>
    </row>
    <row r="37" spans="2:3" x14ac:dyDescent="0.2">
      <c r="B37" s="127"/>
      <c r="C37" s="127" t="s">
        <v>89</v>
      </c>
    </row>
    <row r="38" spans="2:3" x14ac:dyDescent="0.2">
      <c r="B38" s="130"/>
      <c r="C38" s="127" t="s">
        <v>246</v>
      </c>
    </row>
    <row r="39" spans="2:3" x14ac:dyDescent="0.2">
      <c r="B39" s="127"/>
      <c r="C39" s="127" t="s">
        <v>90</v>
      </c>
    </row>
    <row r="40" spans="2:3" x14ac:dyDescent="0.2">
      <c r="B40" s="127"/>
      <c r="C40" s="127" t="s">
        <v>91</v>
      </c>
    </row>
    <row r="41" spans="2:3" x14ac:dyDescent="0.2">
      <c r="B41" s="127"/>
      <c r="C41" s="127" t="s">
        <v>92</v>
      </c>
    </row>
    <row r="42" spans="2:3" x14ac:dyDescent="0.2">
      <c r="B42" s="127"/>
      <c r="C42" s="127" t="s">
        <v>93</v>
      </c>
    </row>
    <row r="43" spans="2:3" x14ac:dyDescent="0.2">
      <c r="B43" s="127"/>
      <c r="C43" s="129"/>
    </row>
    <row r="44" spans="2:3" ht="22.5" x14ac:dyDescent="0.2">
      <c r="B44" s="127" t="s">
        <v>94</v>
      </c>
      <c r="C44" s="129" t="s">
        <v>95</v>
      </c>
    </row>
    <row r="45" spans="2:3" x14ac:dyDescent="0.2">
      <c r="B45" s="127"/>
      <c r="C45" s="129" t="s">
        <v>96</v>
      </c>
    </row>
    <row r="46" spans="2:3" x14ac:dyDescent="0.2">
      <c r="B46" s="127"/>
      <c r="C46" s="127" t="s">
        <v>97</v>
      </c>
    </row>
    <row r="47" spans="2:3" x14ac:dyDescent="0.2">
      <c r="B47" s="130"/>
      <c r="C47" s="127" t="s">
        <v>98</v>
      </c>
    </row>
    <row r="48" spans="2:3" x14ac:dyDescent="0.2">
      <c r="B48" s="127"/>
      <c r="C48" s="127" t="s">
        <v>99</v>
      </c>
    </row>
    <row r="49" spans="1:5" x14ac:dyDescent="0.2">
      <c r="B49" s="127"/>
      <c r="C49" s="127" t="s">
        <v>100</v>
      </c>
    </row>
    <row r="50" spans="1:5" x14ac:dyDescent="0.2">
      <c r="B50" s="127"/>
      <c r="C50" s="127" t="s">
        <v>101</v>
      </c>
    </row>
    <row r="51" spans="1:5" x14ac:dyDescent="0.2">
      <c r="B51" s="127"/>
      <c r="C51" s="127"/>
    </row>
    <row r="52" spans="1:5" ht="22.5" x14ac:dyDescent="0.2">
      <c r="B52" s="127" t="s">
        <v>102</v>
      </c>
      <c r="C52" s="129" t="s">
        <v>103</v>
      </c>
    </row>
    <row r="53" spans="1:5" x14ac:dyDescent="0.2">
      <c r="B53" s="127"/>
      <c r="C53" s="127" t="s">
        <v>104</v>
      </c>
    </row>
    <row r="54" spans="1:5" ht="22.5" x14ac:dyDescent="0.2">
      <c r="B54" s="130"/>
      <c r="C54" s="127" t="s">
        <v>105</v>
      </c>
    </row>
    <row r="55" spans="1:5" x14ac:dyDescent="0.2">
      <c r="B55" s="127"/>
      <c r="C55" s="127" t="s">
        <v>106</v>
      </c>
    </row>
    <row r="56" spans="1:5" x14ac:dyDescent="0.2">
      <c r="B56" s="127"/>
      <c r="C56" s="127" t="s">
        <v>107</v>
      </c>
    </row>
    <row r="57" spans="1:5" x14ac:dyDescent="0.2">
      <c r="B57" s="127"/>
      <c r="C57" s="127"/>
    </row>
    <row r="58" spans="1:5" x14ac:dyDescent="0.2">
      <c r="A58" s="126"/>
      <c r="B58" s="134" t="s">
        <v>108</v>
      </c>
      <c r="C58" s="137"/>
      <c r="D58" s="126"/>
      <c r="E58" s="126"/>
    </row>
    <row r="59" spans="1:5" ht="33.75" x14ac:dyDescent="0.2">
      <c r="B59" s="127" t="s">
        <v>109</v>
      </c>
      <c r="C59" s="127" t="s">
        <v>110</v>
      </c>
    </row>
    <row r="60" spans="1:5" ht="22.5" x14ac:dyDescent="0.2">
      <c r="B60" s="127"/>
      <c r="C60" s="127" t="s">
        <v>111</v>
      </c>
    </row>
    <row r="61" spans="1:5" x14ac:dyDescent="0.2">
      <c r="B61" s="130"/>
      <c r="C61" s="131"/>
    </row>
    <row r="62" spans="1:5" x14ac:dyDescent="0.2">
      <c r="A62" s="126"/>
      <c r="B62" s="138" t="s">
        <v>112</v>
      </c>
      <c r="C62" s="137"/>
      <c r="D62" s="126"/>
      <c r="E62" s="126"/>
    </row>
    <row r="63" spans="1:5" ht="56.25" x14ac:dyDescent="0.2">
      <c r="B63" s="127" t="s">
        <v>113</v>
      </c>
      <c r="C63" s="127" t="s">
        <v>114</v>
      </c>
    </row>
    <row r="64" spans="1:5" x14ac:dyDescent="0.2">
      <c r="B64" s="130"/>
      <c r="C64" s="131"/>
    </row>
    <row r="65" spans="1:5" ht="22.5" x14ac:dyDescent="0.2">
      <c r="B65" s="127" t="s">
        <v>115</v>
      </c>
      <c r="C65" s="127" t="s">
        <v>116</v>
      </c>
    </row>
    <row r="66" spans="1:5" ht="22.5" x14ac:dyDescent="0.2">
      <c r="B66" s="127" t="s">
        <v>117</v>
      </c>
      <c r="C66" s="127" t="s">
        <v>118</v>
      </c>
    </row>
    <row r="67" spans="1:5" x14ac:dyDescent="0.2">
      <c r="B67" s="127"/>
      <c r="C67" s="1"/>
    </row>
    <row r="68" spans="1:5" ht="33.75" x14ac:dyDescent="0.2">
      <c r="B68" s="127" t="s">
        <v>119</v>
      </c>
      <c r="C68" s="127" t="s">
        <v>120</v>
      </c>
    </row>
    <row r="69" spans="1:5" ht="33.75" x14ac:dyDescent="0.2">
      <c r="B69" s="127" t="s">
        <v>121</v>
      </c>
      <c r="C69" s="127" t="s">
        <v>122</v>
      </c>
    </row>
    <row r="70" spans="1:5" ht="45" x14ac:dyDescent="0.2">
      <c r="B70" s="127"/>
      <c r="C70" s="127" t="s">
        <v>123</v>
      </c>
    </row>
    <row r="71" spans="1:5" ht="45" x14ac:dyDescent="0.2">
      <c r="B71" s="127"/>
      <c r="C71" s="127" t="s">
        <v>124</v>
      </c>
    </row>
    <row r="72" spans="1:5" x14ac:dyDescent="0.2">
      <c r="B72" s="130"/>
      <c r="C72" s="131"/>
    </row>
    <row r="73" spans="1:5" x14ac:dyDescent="0.2">
      <c r="B73" s="127" t="s">
        <v>125</v>
      </c>
      <c r="C73" s="139" t="s">
        <v>126</v>
      </c>
    </row>
    <row r="74" spans="1:5" x14ac:dyDescent="0.2">
      <c r="B74" s="127"/>
      <c r="C74" s="139"/>
    </row>
    <row r="75" spans="1:5" x14ac:dyDescent="0.2">
      <c r="A75" s="126"/>
      <c r="B75" s="134" t="s">
        <v>127</v>
      </c>
      <c r="C75" s="137"/>
      <c r="D75" s="126"/>
      <c r="E75" s="126"/>
    </row>
    <row r="76" spans="1:5" ht="22.5" x14ac:dyDescent="0.2">
      <c r="B76" s="127" t="s">
        <v>128</v>
      </c>
      <c r="C76" s="129" t="s">
        <v>129</v>
      </c>
    </row>
    <row r="77" spans="1:5" x14ac:dyDescent="0.2">
      <c r="B77" s="127"/>
      <c r="C77" s="127" t="s">
        <v>130</v>
      </c>
    </row>
    <row r="78" spans="1:5" x14ac:dyDescent="0.2">
      <c r="B78" s="130"/>
      <c r="C78" s="127" t="s">
        <v>131</v>
      </c>
    </row>
    <row r="79" spans="1:5" x14ac:dyDescent="0.2">
      <c r="B79" s="127"/>
      <c r="C79" s="127" t="s">
        <v>132</v>
      </c>
    </row>
    <row r="80" spans="1:5" x14ac:dyDescent="0.2">
      <c r="B80" s="127"/>
      <c r="C80" s="127" t="s">
        <v>133</v>
      </c>
    </row>
    <row r="81" spans="2:3" x14ac:dyDescent="0.2">
      <c r="B81" s="127"/>
      <c r="C81" s="127" t="s">
        <v>134</v>
      </c>
    </row>
    <row r="82" spans="2:3" x14ac:dyDescent="0.2">
      <c r="B82" s="127"/>
      <c r="C82" s="129" t="s">
        <v>135</v>
      </c>
    </row>
    <row r="83" spans="2:3" ht="33.75" x14ac:dyDescent="0.2">
      <c r="B83" s="127"/>
      <c r="C83" s="127" t="s">
        <v>136</v>
      </c>
    </row>
    <row r="84" spans="2:3" x14ac:dyDescent="0.2">
      <c r="B84" s="127"/>
      <c r="C84" s="127" t="s">
        <v>137</v>
      </c>
    </row>
    <row r="85" spans="2:3" x14ac:dyDescent="0.2">
      <c r="B85" s="127"/>
      <c r="C85" s="127" t="s">
        <v>138</v>
      </c>
    </row>
    <row r="86" spans="2:3" x14ac:dyDescent="0.2">
      <c r="B86" s="127"/>
      <c r="C86" s="127" t="s">
        <v>139</v>
      </c>
    </row>
    <row r="87" spans="2:3" x14ac:dyDescent="0.2">
      <c r="B87" s="127"/>
      <c r="C87" s="129" t="s">
        <v>140</v>
      </c>
    </row>
    <row r="88" spans="2:3" x14ac:dyDescent="0.2">
      <c r="B88" s="127"/>
      <c r="C88" s="127"/>
    </row>
    <row r="89" spans="2:3" ht="22.5" x14ac:dyDescent="0.2">
      <c r="B89" s="127" t="s">
        <v>141</v>
      </c>
      <c r="C89" s="129" t="s">
        <v>130</v>
      </c>
    </row>
    <row r="90" spans="2:3" x14ac:dyDescent="0.2">
      <c r="B90" s="130"/>
      <c r="C90" s="127" t="s">
        <v>131</v>
      </c>
    </row>
    <row r="91" spans="2:3" x14ac:dyDescent="0.2">
      <c r="B91" s="127"/>
      <c r="C91" s="127" t="s">
        <v>132</v>
      </c>
    </row>
    <row r="92" spans="2:3" x14ac:dyDescent="0.2">
      <c r="B92" s="127"/>
      <c r="C92" s="127" t="s">
        <v>133</v>
      </c>
    </row>
    <row r="93" spans="2:3" x14ac:dyDescent="0.2">
      <c r="B93" s="127"/>
      <c r="C93" s="127" t="s">
        <v>134</v>
      </c>
    </row>
    <row r="94" spans="2:3" x14ac:dyDescent="0.2">
      <c r="B94" s="127"/>
      <c r="C94" s="127"/>
    </row>
    <row r="95" spans="2:3" ht="22.5" x14ac:dyDescent="0.2">
      <c r="B95" s="127" t="s">
        <v>142</v>
      </c>
      <c r="C95" s="129" t="s">
        <v>130</v>
      </c>
    </row>
    <row r="96" spans="2:3" x14ac:dyDescent="0.2">
      <c r="B96" s="127"/>
      <c r="C96" s="127" t="s">
        <v>143</v>
      </c>
    </row>
    <row r="97" spans="2:3" x14ac:dyDescent="0.2">
      <c r="B97" s="130"/>
      <c r="C97" s="127" t="s">
        <v>131</v>
      </c>
    </row>
    <row r="98" spans="2:3" x14ac:dyDescent="0.2">
      <c r="B98" s="127"/>
      <c r="C98" s="127" t="s">
        <v>132</v>
      </c>
    </row>
    <row r="99" spans="2:3" x14ac:dyDescent="0.2">
      <c r="B99" s="127"/>
      <c r="C99" s="127" t="s">
        <v>133</v>
      </c>
    </row>
    <row r="100" spans="2:3" x14ac:dyDescent="0.2">
      <c r="B100" s="127"/>
      <c r="C100" s="127" t="s">
        <v>134</v>
      </c>
    </row>
    <row r="101" spans="2:3" x14ac:dyDescent="0.2">
      <c r="B101" s="127"/>
      <c r="C101" s="127"/>
    </row>
    <row r="102" spans="2:3" ht="22.5" x14ac:dyDescent="0.2">
      <c r="B102" s="127" t="s">
        <v>144</v>
      </c>
      <c r="C102" s="129" t="s">
        <v>130</v>
      </c>
    </row>
    <row r="103" spans="2:3" x14ac:dyDescent="0.2">
      <c r="B103" s="127"/>
      <c r="C103" s="127" t="s">
        <v>143</v>
      </c>
    </row>
    <row r="104" spans="2:3" x14ac:dyDescent="0.2">
      <c r="B104" s="127"/>
      <c r="C104" s="127" t="s">
        <v>145</v>
      </c>
    </row>
    <row r="105" spans="2:3" x14ac:dyDescent="0.2">
      <c r="B105" s="130"/>
      <c r="C105" s="127" t="s">
        <v>131</v>
      </c>
    </row>
    <row r="106" spans="2:3" x14ac:dyDescent="0.2">
      <c r="B106" s="127"/>
      <c r="C106" s="127" t="s">
        <v>132</v>
      </c>
    </row>
    <row r="107" spans="2:3" x14ac:dyDescent="0.2">
      <c r="B107" s="127"/>
      <c r="C107" s="127" t="s">
        <v>133</v>
      </c>
    </row>
    <row r="108" spans="2:3" x14ac:dyDescent="0.2">
      <c r="B108" s="127"/>
      <c r="C108" s="127" t="s">
        <v>134</v>
      </c>
    </row>
    <row r="109" spans="2:3" x14ac:dyDescent="0.2">
      <c r="B109" s="127"/>
      <c r="C109" s="127" t="s">
        <v>146</v>
      </c>
    </row>
    <row r="110" spans="2:3" x14ac:dyDescent="0.2">
      <c r="B110" s="127"/>
      <c r="C110" s="127"/>
    </row>
    <row r="111" spans="2:3" x14ac:dyDescent="0.2">
      <c r="B111" s="127"/>
      <c r="C111" s="127"/>
    </row>
    <row r="112" spans="2:3" ht="22.5" x14ac:dyDescent="0.2">
      <c r="B112" s="127" t="s">
        <v>148</v>
      </c>
      <c r="C112" s="129" t="s">
        <v>149</v>
      </c>
    </row>
    <row r="113" spans="2:3" x14ac:dyDescent="0.2">
      <c r="B113" s="127"/>
      <c r="C113" s="127" t="s">
        <v>150</v>
      </c>
    </row>
    <row r="114" spans="2:3" x14ac:dyDescent="0.2">
      <c r="B114" s="127"/>
      <c r="C114" s="127" t="s">
        <v>151</v>
      </c>
    </row>
    <row r="115" spans="2:3" x14ac:dyDescent="0.2">
      <c r="B115" s="127"/>
      <c r="C115" s="127" t="s">
        <v>147</v>
      </c>
    </row>
    <row r="116" spans="2:3" x14ac:dyDescent="0.2">
      <c r="B116" s="127"/>
      <c r="C116" s="127" t="s">
        <v>68</v>
      </c>
    </row>
    <row r="117" spans="2:3" x14ac:dyDescent="0.2">
      <c r="B117" s="127"/>
      <c r="C117" s="127" t="s">
        <v>152</v>
      </c>
    </row>
    <row r="118" spans="2:3" x14ac:dyDescent="0.2">
      <c r="B118" s="127"/>
      <c r="C118" s="127"/>
    </row>
    <row r="119" spans="2:3" ht="22.5" x14ac:dyDescent="0.2">
      <c r="B119" s="127" t="s">
        <v>153</v>
      </c>
      <c r="C119" s="129" t="s">
        <v>154</v>
      </c>
    </row>
    <row r="120" spans="2:3" x14ac:dyDescent="0.2">
      <c r="B120" s="127"/>
      <c r="C120" s="127" t="s">
        <v>155</v>
      </c>
    </row>
    <row r="121" spans="2:3" x14ac:dyDescent="0.2">
      <c r="B121" s="127"/>
      <c r="C121" s="127"/>
    </row>
    <row r="122" spans="2:3" ht="22.5" x14ac:dyDescent="0.2">
      <c r="B122" s="127" t="s">
        <v>156</v>
      </c>
      <c r="C122" s="129" t="s">
        <v>157</v>
      </c>
    </row>
    <row r="123" spans="2:3" x14ac:dyDescent="0.2">
      <c r="B123" s="127"/>
      <c r="C123" s="127" t="s">
        <v>68</v>
      </c>
    </row>
    <row r="124" spans="2:3" x14ac:dyDescent="0.2">
      <c r="B124" s="127"/>
      <c r="C124" s="127" t="s">
        <v>158</v>
      </c>
    </row>
    <row r="125" spans="2:3" x14ac:dyDescent="0.2">
      <c r="B125" s="127"/>
      <c r="C125" s="127" t="s">
        <v>159</v>
      </c>
    </row>
    <row r="126" spans="2:3" x14ac:dyDescent="0.2">
      <c r="B126" s="127"/>
      <c r="C126" s="127"/>
    </row>
    <row r="127" spans="2:3" ht="22.5" x14ac:dyDescent="0.2">
      <c r="B127" s="127" t="s">
        <v>160</v>
      </c>
      <c r="C127" s="129" t="s">
        <v>157</v>
      </c>
    </row>
    <row r="128" spans="2:3" x14ac:dyDescent="0.2">
      <c r="B128" s="127"/>
      <c r="C128" s="127" t="s">
        <v>68</v>
      </c>
    </row>
    <row r="129" spans="2:3" x14ac:dyDescent="0.2">
      <c r="B129" s="127"/>
      <c r="C129" s="127" t="s">
        <v>161</v>
      </c>
    </row>
    <row r="130" spans="2:3" x14ac:dyDescent="0.2">
      <c r="B130" s="127"/>
      <c r="C130" s="127" t="s">
        <v>162</v>
      </c>
    </row>
    <row r="131" spans="2:3" x14ac:dyDescent="0.2">
      <c r="B131" s="127"/>
      <c r="C131" s="127"/>
    </row>
    <row r="132" spans="2:3" ht="22.5" x14ac:dyDescent="0.2">
      <c r="B132" s="127" t="s">
        <v>163</v>
      </c>
      <c r="C132" s="127" t="s">
        <v>164</v>
      </c>
    </row>
    <row r="133" spans="2:3" x14ac:dyDescent="0.2">
      <c r="B133" s="127"/>
      <c r="C133" s="127" t="s">
        <v>248</v>
      </c>
    </row>
    <row r="134" spans="2:3" x14ac:dyDescent="0.2">
      <c r="B134" s="130"/>
      <c r="C134" s="127" t="s">
        <v>165</v>
      </c>
    </row>
    <row r="135" spans="2:3" x14ac:dyDescent="0.2">
      <c r="B135" s="127"/>
      <c r="C135" s="127" t="s">
        <v>166</v>
      </c>
    </row>
    <row r="136" spans="2:3" x14ac:dyDescent="0.2">
      <c r="B136" s="127"/>
      <c r="C136" s="127" t="s">
        <v>167</v>
      </c>
    </row>
    <row r="137" spans="2:3" x14ac:dyDescent="0.2">
      <c r="B137" s="127"/>
      <c r="C137" s="129"/>
    </row>
    <row r="138" spans="2:3" ht="33.75" x14ac:dyDescent="0.2">
      <c r="B138" s="127" t="s">
        <v>168</v>
      </c>
      <c r="C138" s="129" t="s">
        <v>169</v>
      </c>
    </row>
    <row r="139" spans="2:3" ht="22.5" x14ac:dyDescent="0.2">
      <c r="B139" s="127"/>
      <c r="C139" s="127" t="s">
        <v>170</v>
      </c>
    </row>
    <row r="140" spans="2:3" x14ac:dyDescent="0.2">
      <c r="B140" s="127"/>
      <c r="C140" s="127" t="s">
        <v>171</v>
      </c>
    </row>
    <row r="141" spans="2:3" x14ac:dyDescent="0.2">
      <c r="B141" s="130"/>
      <c r="C141" s="127" t="s">
        <v>172</v>
      </c>
    </row>
    <row r="142" spans="2:3" x14ac:dyDescent="0.2">
      <c r="B142" s="127"/>
      <c r="C142" s="127" t="s">
        <v>173</v>
      </c>
    </row>
    <row r="143" spans="2:3" x14ac:dyDescent="0.2">
      <c r="B143" s="127"/>
      <c r="C143" s="127"/>
    </row>
    <row r="144" spans="2:3" x14ac:dyDescent="0.2">
      <c r="B144" s="127" t="s">
        <v>174</v>
      </c>
      <c r="C144" s="131" t="s">
        <v>175</v>
      </c>
    </row>
    <row r="145" spans="1:5" x14ac:dyDescent="0.2">
      <c r="B145" s="127"/>
      <c r="C145" s="131" t="s">
        <v>176</v>
      </c>
    </row>
    <row r="146" spans="1:5" x14ac:dyDescent="0.2">
      <c r="B146" s="127"/>
      <c r="C146" s="131"/>
    </row>
    <row r="147" spans="1:5" x14ac:dyDescent="0.2">
      <c r="A147" s="126"/>
      <c r="B147" s="134" t="s">
        <v>177</v>
      </c>
      <c r="C147" s="137"/>
      <c r="D147" s="126"/>
      <c r="E147" s="126"/>
    </row>
    <row r="148" spans="1:5" x14ac:dyDescent="0.2">
      <c r="B148" s="127" t="s">
        <v>178</v>
      </c>
      <c r="C148" s="139" t="s">
        <v>179</v>
      </c>
    </row>
    <row r="149" spans="1:5" x14ac:dyDescent="0.2">
      <c r="B149" s="127" t="s">
        <v>180</v>
      </c>
      <c r="C149" s="139" t="s">
        <v>181</v>
      </c>
    </row>
    <row r="150" spans="1:5" x14ac:dyDescent="0.2">
      <c r="B150" s="130"/>
      <c r="C150" s="131"/>
    </row>
    <row r="151" spans="1:5" ht="22.5" x14ac:dyDescent="0.2">
      <c r="B151" s="127" t="s">
        <v>182</v>
      </c>
      <c r="C151" s="127" t="s">
        <v>183</v>
      </c>
    </row>
    <row r="152" spans="1:5" x14ac:dyDescent="0.2">
      <c r="B152" s="130"/>
      <c r="C152" s="131" t="s">
        <v>184</v>
      </c>
    </row>
    <row r="153" spans="1:5" ht="22.5" x14ac:dyDescent="0.2">
      <c r="B153" s="130"/>
      <c r="C153" s="131" t="s">
        <v>185</v>
      </c>
    </row>
    <row r="154" spans="1:5" x14ac:dyDescent="0.2">
      <c r="B154" s="130"/>
      <c r="C154" s="131"/>
    </row>
    <row r="155" spans="1:5" x14ac:dyDescent="0.2">
      <c r="B155" s="127" t="s">
        <v>186</v>
      </c>
      <c r="C155" s="127" t="s">
        <v>187</v>
      </c>
    </row>
    <row r="156" spans="1:5" ht="22.5" x14ac:dyDescent="0.2">
      <c r="B156" s="127"/>
      <c r="C156" s="127" t="s">
        <v>188</v>
      </c>
    </row>
    <row r="157" spans="1:5" x14ac:dyDescent="0.2">
      <c r="B157" s="140"/>
      <c r="C157" s="127"/>
    </row>
    <row r="158" spans="1:5" x14ac:dyDescent="0.2">
      <c r="B158" s="127" t="s">
        <v>189</v>
      </c>
      <c r="C158" s="129" t="s">
        <v>190</v>
      </c>
    </row>
    <row r="159" spans="1:5" x14ac:dyDescent="0.2">
      <c r="B159" s="127"/>
      <c r="C159" s="129" t="s">
        <v>191</v>
      </c>
    </row>
    <row r="160" spans="1:5" ht="22.5" x14ac:dyDescent="0.2">
      <c r="B160" s="127"/>
      <c r="C160" s="127" t="s">
        <v>192</v>
      </c>
    </row>
    <row r="161" spans="1:5" ht="22.5" x14ac:dyDescent="0.2">
      <c r="B161" s="127"/>
      <c r="C161" s="127" t="s">
        <v>193</v>
      </c>
    </row>
    <row r="162" spans="1:5" x14ac:dyDescent="0.2">
      <c r="B162" s="127"/>
      <c r="C162" s="127" t="s">
        <v>194</v>
      </c>
    </row>
    <row r="163" spans="1:5" x14ac:dyDescent="0.2">
      <c r="B163" s="127"/>
      <c r="C163" s="127" t="s">
        <v>247</v>
      </c>
    </row>
    <row r="164" spans="1:5" x14ac:dyDescent="0.2">
      <c r="B164" s="127"/>
      <c r="C164" s="127"/>
    </row>
    <row r="165" spans="1:5" x14ac:dyDescent="0.2">
      <c r="A165" s="126"/>
      <c r="B165" s="134" t="s">
        <v>195</v>
      </c>
      <c r="C165" s="137"/>
      <c r="D165" s="126"/>
      <c r="E165" s="126"/>
    </row>
    <row r="166" spans="1:5" ht="45" x14ac:dyDescent="0.2">
      <c r="B166" s="132" t="s">
        <v>196</v>
      </c>
      <c r="C166" s="133" t="s">
        <v>197</v>
      </c>
    </row>
    <row r="167" spans="1:5" ht="56.25" x14ac:dyDescent="0.2">
      <c r="B167" s="132"/>
      <c r="C167" s="133" t="s">
        <v>198</v>
      </c>
    </row>
    <row r="168" spans="1:5" ht="56.25" x14ac:dyDescent="0.2">
      <c r="B168" s="132"/>
      <c r="C168" s="133" t="s">
        <v>199</v>
      </c>
    </row>
    <row r="169" spans="1:5" x14ac:dyDescent="0.2">
      <c r="B169" s="132"/>
    </row>
    <row r="170" spans="1:5" ht="22.5" x14ac:dyDescent="0.2">
      <c r="B170" s="127" t="s">
        <v>200</v>
      </c>
      <c r="C170" s="129" t="s">
        <v>78</v>
      </c>
    </row>
    <row r="171" spans="1:5" x14ac:dyDescent="0.2">
      <c r="B171" s="127"/>
      <c r="C171" s="129" t="s">
        <v>201</v>
      </c>
    </row>
    <row r="172" spans="1:5" x14ac:dyDescent="0.2">
      <c r="B172" s="127"/>
      <c r="C172" s="129" t="s">
        <v>202</v>
      </c>
    </row>
    <row r="173" spans="1:5" x14ac:dyDescent="0.2">
      <c r="B173" s="127"/>
      <c r="C173" s="129" t="s">
        <v>203</v>
      </c>
    </row>
    <row r="174" spans="1:5" x14ac:dyDescent="0.2">
      <c r="B174" s="127"/>
      <c r="C174" s="129" t="s">
        <v>204</v>
      </c>
    </row>
    <row r="175" spans="1:5" x14ac:dyDescent="0.2">
      <c r="B175" s="127"/>
      <c r="C175" s="129" t="s">
        <v>205</v>
      </c>
    </row>
    <row r="176" spans="1:5" x14ac:dyDescent="0.2">
      <c r="B176" s="127"/>
      <c r="C176" s="129" t="s">
        <v>206</v>
      </c>
    </row>
    <row r="177" spans="1:5" x14ac:dyDescent="0.2">
      <c r="B177" s="127"/>
      <c r="C177" s="129" t="s">
        <v>207</v>
      </c>
    </row>
    <row r="178" spans="1:5" ht="33.75" x14ac:dyDescent="0.2">
      <c r="B178" s="127"/>
      <c r="C178" s="129" t="s">
        <v>208</v>
      </c>
    </row>
    <row r="179" spans="1:5" ht="22.5" x14ac:dyDescent="0.2">
      <c r="B179" s="127"/>
      <c r="C179" s="127" t="s">
        <v>209</v>
      </c>
    </row>
    <row r="180" spans="1:5" x14ac:dyDescent="0.2">
      <c r="B180" s="130"/>
      <c r="C180" s="127" t="s">
        <v>210</v>
      </c>
    </row>
    <row r="181" spans="1:5" x14ac:dyDescent="0.2">
      <c r="B181" s="130"/>
      <c r="C181" s="127"/>
    </row>
    <row r="182" spans="1:5" x14ac:dyDescent="0.2">
      <c r="A182" s="126"/>
      <c r="B182" s="134" t="s">
        <v>211</v>
      </c>
      <c r="C182" s="137"/>
      <c r="D182" s="126"/>
      <c r="E182" s="126"/>
    </row>
    <row r="183" spans="1:5" x14ac:dyDescent="0.2">
      <c r="B183" s="127" t="s">
        <v>212</v>
      </c>
      <c r="C183" s="127" t="s">
        <v>213</v>
      </c>
    </row>
    <row r="184" spans="1:5" x14ac:dyDescent="0.2">
      <c r="B184" s="132" t="s">
        <v>214</v>
      </c>
      <c r="C184" s="133" t="s">
        <v>215</v>
      </c>
    </row>
    <row r="185" spans="1:5" x14ac:dyDescent="0.2">
      <c r="B185" s="132" t="s">
        <v>216</v>
      </c>
      <c r="C185" s="133" t="s">
        <v>217</v>
      </c>
    </row>
    <row r="186" spans="1:5" x14ac:dyDescent="0.2">
      <c r="B186" s="132"/>
    </row>
    <row r="187" spans="1:5" x14ac:dyDescent="0.2">
      <c r="A187" s="126"/>
      <c r="B187" s="134" t="s">
        <v>218</v>
      </c>
      <c r="C187" s="137"/>
      <c r="D187" s="126"/>
      <c r="E187" s="126"/>
    </row>
    <row r="188" spans="1:5" x14ac:dyDescent="0.2">
      <c r="B188" s="141"/>
      <c r="C188" s="127" t="s">
        <v>219</v>
      </c>
    </row>
    <row r="189" spans="1:5" x14ac:dyDescent="0.2">
      <c r="B189" s="142"/>
      <c r="C189" s="127" t="s">
        <v>220</v>
      </c>
    </row>
    <row r="190" spans="1:5" x14ac:dyDescent="0.2">
      <c r="B190" s="142"/>
      <c r="C190" s="127" t="s">
        <v>221</v>
      </c>
    </row>
    <row r="191" spans="1:5" x14ac:dyDescent="0.2">
      <c r="B191" s="142"/>
      <c r="C191" s="127"/>
    </row>
    <row r="192" spans="1:5" ht="15" x14ac:dyDescent="0.2">
      <c r="A192" s="154" t="s">
        <v>222</v>
      </c>
      <c r="B192" s="155"/>
      <c r="C192" s="155"/>
      <c r="D192" s="155"/>
      <c r="E192" s="126"/>
    </row>
    <row r="193" spans="1:5" x14ac:dyDescent="0.2">
      <c r="B193" s="132"/>
    </row>
    <row r="194" spans="1:5" x14ac:dyDescent="0.2">
      <c r="A194" s="126"/>
      <c r="B194" s="144" t="s">
        <v>223</v>
      </c>
      <c r="C194" s="135"/>
      <c r="D194" s="126"/>
      <c r="E194" s="126"/>
    </row>
    <row r="195" spans="1:5" x14ac:dyDescent="0.2">
      <c r="B195" s="133" t="s">
        <v>224</v>
      </c>
      <c r="C195" s="133" t="s">
        <v>225</v>
      </c>
    </row>
    <row r="196" spans="1:5" ht="22.5" x14ac:dyDescent="0.2">
      <c r="C196" s="133" t="s">
        <v>226</v>
      </c>
    </row>
    <row r="197" spans="1:5" ht="22.5" x14ac:dyDescent="0.2">
      <c r="B197" s="143"/>
      <c r="C197" s="133" t="s">
        <v>227</v>
      </c>
    </row>
    <row r="198" spans="1:5" x14ac:dyDescent="0.2">
      <c r="C198" s="133" t="s">
        <v>228</v>
      </c>
    </row>
    <row r="200" spans="1:5" x14ac:dyDescent="0.2">
      <c r="B200" s="127" t="s">
        <v>249</v>
      </c>
      <c r="C200" s="129" t="s">
        <v>229</v>
      </c>
    </row>
    <row r="201" spans="1:5" x14ac:dyDescent="0.2">
      <c r="B201" s="127"/>
      <c r="C201" s="127" t="s">
        <v>230</v>
      </c>
    </row>
    <row r="202" spans="1:5" x14ac:dyDescent="0.2">
      <c r="B202" s="127"/>
      <c r="C202" s="127" t="s">
        <v>231</v>
      </c>
    </row>
    <row r="203" spans="1:5" x14ac:dyDescent="0.2">
      <c r="B203" s="130"/>
      <c r="C203" s="131" t="s">
        <v>232</v>
      </c>
    </row>
    <row r="204" spans="1:5" x14ac:dyDescent="0.2">
      <c r="B204" s="143"/>
      <c r="C204" s="133" t="s">
        <v>233</v>
      </c>
    </row>
    <row r="205" spans="1:5" x14ac:dyDescent="0.2">
      <c r="B205" s="143"/>
      <c r="C205" s="133" t="s">
        <v>234</v>
      </c>
    </row>
    <row r="206" spans="1:5" x14ac:dyDescent="0.2">
      <c r="B206" s="143"/>
    </row>
    <row r="207" spans="1:5" ht="15" x14ac:dyDescent="0.2">
      <c r="A207" s="154" t="s">
        <v>235</v>
      </c>
      <c r="B207" s="155"/>
      <c r="C207" s="155"/>
      <c r="D207" s="155"/>
      <c r="E207" s="126"/>
    </row>
    <row r="208" spans="1:5" x14ac:dyDescent="0.2">
      <c r="B208" s="140"/>
      <c r="C208" s="127"/>
    </row>
    <row r="209" spans="1:5" x14ac:dyDescent="0.2">
      <c r="A209" s="126"/>
      <c r="B209" s="134" t="s">
        <v>236</v>
      </c>
      <c r="C209" s="137"/>
      <c r="D209" s="126"/>
      <c r="E209" s="126"/>
    </row>
    <row r="210" spans="1:5" x14ac:dyDescent="0.2">
      <c r="B210" s="132" t="s">
        <v>237</v>
      </c>
      <c r="C210" s="133" t="s">
        <v>238</v>
      </c>
    </row>
    <row r="211" spans="1:5" x14ac:dyDescent="0.2">
      <c r="B211" s="132"/>
      <c r="C211" s="133" t="s">
        <v>239</v>
      </c>
    </row>
    <row r="212" spans="1:5" x14ac:dyDescent="0.2">
      <c r="B212" s="132"/>
      <c r="C212" s="133" t="s">
        <v>240</v>
      </c>
    </row>
    <row r="213" spans="1:5" x14ac:dyDescent="0.2">
      <c r="B213" s="132"/>
    </row>
    <row r="214" spans="1:5" ht="15.75" x14ac:dyDescent="0.2">
      <c r="A214" s="126"/>
      <c r="B214" s="151" t="s">
        <v>241</v>
      </c>
      <c r="C214" s="151"/>
      <c r="D214" s="126"/>
      <c r="E214" s="126"/>
    </row>
    <row r="215" spans="1:5" x14ac:dyDescent="0.2">
      <c r="B215" s="150" t="s">
        <v>242</v>
      </c>
      <c r="C215" s="150"/>
    </row>
    <row r="216" spans="1:5" x14ac:dyDescent="0.2">
      <c r="B216" s="150" t="s">
        <v>243</v>
      </c>
      <c r="C216" s="150"/>
    </row>
    <row r="217" spans="1:5" x14ac:dyDescent="0.2">
      <c r="B217" s="150" t="s">
        <v>244</v>
      </c>
      <c r="C217" s="150"/>
    </row>
  </sheetData>
  <mergeCells count="8">
    <mergeCell ref="B216:C216"/>
    <mergeCell ref="B217:C217"/>
    <mergeCell ref="B214:C214"/>
    <mergeCell ref="B215:C215"/>
    <mergeCell ref="A1:D1"/>
    <mergeCell ref="A20:D20"/>
    <mergeCell ref="A192:D192"/>
    <mergeCell ref="A207:D207"/>
  </mergeCells>
  <phoneticPr fontId="2" type="noConversion"/>
  <pageMargins left="0.75" right="0.75" top="1" bottom="1" header="0.5" footer="0.5"/>
  <pageSetup orientation="portrait" verticalDpi="0"/>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Sheet 1</vt:lpstr>
      <vt:lpstr>Sheet 2</vt:lpstr>
      <vt:lpstr>Sheet 3</vt:lpstr>
      <vt:lpstr>Sheet 4</vt:lpstr>
      <vt:lpstr>Sheet 5</vt:lpstr>
      <vt:lpstr>Sheet 6</vt:lpstr>
      <vt:lpstr>Sheet 7</vt:lpstr>
      <vt:lpstr>Sheet 9</vt:lpstr>
      <vt:lpstr>INSTRUCTIONS</vt:lpstr>
      <vt:lpstr>Test Case Checklist</vt:lpstr>
    </vt:vector>
  </TitlesOfParts>
  <Company>Sage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Sage Software</dc:creator>
  <cp:lastModifiedBy>Vimal Darji</cp:lastModifiedBy>
  <cp:lastPrinted>2007-10-17T23:37:55Z</cp:lastPrinted>
  <dcterms:created xsi:type="dcterms:W3CDTF">2007-09-26T16:16:54Z</dcterms:created>
  <dcterms:modified xsi:type="dcterms:W3CDTF">2016-10-26T19:13:35Z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scription0">
    <vt:lpwstr/>
  </property>
</Properties>
</file>